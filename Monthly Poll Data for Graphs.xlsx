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olors18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worksheets/sheet3.xml" ContentType="application/vnd.openxmlformats-officedocument.spreadsheetml.work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heets/sheet1.xml" ContentType="application/vnd.openxmlformats-officedocument.spreadsheetml.chartsheet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heets/sheet3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4.xml" ContentType="application/vnd.openxmlformats-officedocument.spreadsheetml.chartsheet+xml"/>
  <Override PartName="/xl/drawings/drawing19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Curia/Clients/Corporate/"/>
    </mc:Choice>
  </mc:AlternateContent>
  <xr:revisionPtr revIDLastSave="0" documentId="13_ncr:1_{995F0B8C-73B8-E64A-AA61-0239332EF71B}" xr6:coauthVersionLast="47" xr6:coauthVersionMax="47" xr10:uidLastSave="{00000000-0000-0000-0000-000000000000}"/>
  <bookViews>
    <workbookView xWindow="0" yWindow="600" windowWidth="22940" windowHeight="14300" firstSheet="17" activeTab="27" xr2:uid="{69EA35E9-1F26-4608-8B92-E4A061963EF2}"/>
  </bookViews>
  <sheets>
    <sheet name="Current Labour" sheetId="44" r:id="rId1"/>
    <sheet name="Current Nats" sheetId="43" r:id="rId2"/>
    <sheet name="2023 Lab" sheetId="41" r:id="rId3"/>
    <sheet name="2023 Nat" sheetId="40" r:id="rId4"/>
    <sheet name="This Month" sheetId="2" r:id="rId5"/>
    <sheet name="Time" sheetId="1" r:id="rId6"/>
    <sheet name="PV time" sheetId="7" r:id="rId7"/>
    <sheet name="PV Compare" sheetId="31" r:id="rId8"/>
    <sheet name="Seats time" sheetId="30" r:id="rId9"/>
    <sheet name="Seats" sheetId="6" r:id="rId10"/>
    <sheet name="PV Gend Age" sheetId="32" r:id="rId11"/>
    <sheet name="PV Area" sheetId="33" r:id="rId12"/>
    <sheet name="PV Ethnicity" sheetId="45" r:id="rId13"/>
    <sheet name="PPM over time" sheetId="22" r:id="rId14"/>
    <sheet name="Fav" sheetId="11" r:id="rId15"/>
    <sheet name="Fav time" sheetId="28" r:id="rId16"/>
    <sheet name="Fav by PV" sheetId="29" r:id="rId17"/>
    <sheet name="Dir by time" sheetId="20" r:id="rId18"/>
    <sheet name="DIrection" sheetId="10" r:id="rId19"/>
    <sheet name="Sheet2" sheetId="47" r:id="rId20"/>
    <sheet name="Approval" sheetId="36" r:id="rId21"/>
    <sheet name="Issues" sheetId="8" r:id="rId22"/>
    <sheet name="Issues (3)" sheetId="39" r:id="rId23"/>
    <sheet name="Issues Time" sheetId="21" r:id="rId24"/>
    <sheet name="KPI Impt" sheetId="38" r:id="rId25"/>
    <sheet name="Impt time" sheetId="46" r:id="rId26"/>
    <sheet name="KPI" sheetId="12" r:id="rId27"/>
    <sheet name="KPI Time" sheetId="27" r:id="rId28"/>
    <sheet name="Sheet1" sheetId="35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4" i="1" l="1"/>
  <c r="L65" i="1"/>
  <c r="P63" i="1"/>
  <c r="L64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39" i="1"/>
  <c r="P62" i="1"/>
  <c r="P61" i="1"/>
  <c r="P60" i="1"/>
  <c r="P59" i="1"/>
  <c r="P58" i="1"/>
  <c r="P57" i="1"/>
  <c r="J160" i="2"/>
  <c r="J161" i="2" s="1"/>
  <c r="P56" i="1"/>
  <c r="P55" i="1"/>
  <c r="B76" i="2"/>
  <c r="C54" i="2" s="1"/>
  <c r="H54" i="2" s="1"/>
  <c r="P54" i="1"/>
  <c r="P53" i="1"/>
  <c r="P52" i="1"/>
  <c r="J43" i="2"/>
  <c r="J42" i="2"/>
  <c r="P51" i="1"/>
  <c r="P50" i="1"/>
  <c r="K202" i="2"/>
  <c r="L202" i="2"/>
  <c r="M202" i="2"/>
  <c r="K204" i="2"/>
  <c r="L204" i="2"/>
  <c r="M204" i="2"/>
  <c r="J204" i="2"/>
  <c r="J202" i="2"/>
  <c r="F208" i="2"/>
  <c r="E208" i="2"/>
  <c r="D208" i="2"/>
  <c r="C208" i="2"/>
  <c r="B208" i="2"/>
  <c r="P49" i="1"/>
  <c r="P48" i="1"/>
  <c r="E164" i="2"/>
  <c r="E152" i="2"/>
  <c r="AX48" i="1"/>
  <c r="P47" i="1"/>
  <c r="P46" i="1"/>
  <c r="F57" i="2"/>
  <c r="G57" i="2"/>
  <c r="F54" i="2"/>
  <c r="G54" i="2"/>
  <c r="F55" i="2"/>
  <c r="G55" i="2"/>
  <c r="F56" i="2"/>
  <c r="G56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J136" i="2"/>
  <c r="J134" i="2"/>
  <c r="P45" i="1"/>
  <c r="E249" i="2"/>
  <c r="E247" i="2"/>
  <c r="E246" i="2"/>
  <c r="E245" i="2"/>
  <c r="E244" i="2"/>
  <c r="E243" i="2"/>
  <c r="D246" i="2"/>
  <c r="D249" i="2"/>
  <c r="D247" i="2"/>
  <c r="D245" i="2"/>
  <c r="D244" i="2"/>
  <c r="D243" i="2"/>
  <c r="C243" i="2"/>
  <c r="C244" i="2"/>
  <c r="C245" i="2"/>
  <c r="C246" i="2"/>
  <c r="C247" i="2"/>
  <c r="C249" i="2"/>
  <c r="B249" i="2"/>
  <c r="B247" i="2"/>
  <c r="B246" i="2"/>
  <c r="B245" i="2"/>
  <c r="B244" i="2"/>
  <c r="B243" i="2"/>
  <c r="P44" i="1"/>
  <c r="I45" i="1"/>
  <c r="M44" i="1" s="1"/>
  <c r="Q44" i="1" s="1"/>
  <c r="AB44" i="1" s="1"/>
  <c r="AH44" i="1" s="1"/>
  <c r="AM44" i="1" s="1"/>
  <c r="P43" i="1"/>
  <c r="P42" i="1"/>
  <c r="E163" i="2"/>
  <c r="E151" i="2"/>
  <c r="F65" i="2"/>
  <c r="F66" i="2"/>
  <c r="F67" i="2"/>
  <c r="F68" i="2"/>
  <c r="F69" i="2"/>
  <c r="F70" i="2"/>
  <c r="F71" i="2"/>
  <c r="F72" i="2"/>
  <c r="F73" i="2"/>
  <c r="F53" i="2"/>
  <c r="P41" i="1"/>
  <c r="E162" i="2"/>
  <c r="E161" i="2"/>
  <c r="E160" i="2"/>
  <c r="E159" i="2"/>
  <c r="E158" i="2"/>
  <c r="E157" i="2"/>
  <c r="E156" i="2"/>
  <c r="E155" i="2"/>
  <c r="E150" i="2"/>
  <c r="E148" i="2"/>
  <c r="E144" i="2"/>
  <c r="E145" i="2"/>
  <c r="E146" i="2"/>
  <c r="E147" i="2"/>
  <c r="E149" i="2"/>
  <c r="E143" i="2"/>
  <c r="D125" i="2"/>
  <c r="D124" i="2"/>
  <c r="B113" i="2"/>
  <c r="B112" i="2"/>
  <c r="P40" i="1"/>
  <c r="G67" i="2"/>
  <c r="P39" i="1"/>
  <c r="I40" i="1"/>
  <c r="M39" i="1" s="1"/>
  <c r="Q39" i="1" s="1"/>
  <c r="AB39" i="1" s="1"/>
  <c r="AH39" i="1" s="1"/>
  <c r="AM39" i="1" s="1"/>
  <c r="D123" i="2"/>
  <c r="C188" i="2"/>
  <c r="D188" i="2"/>
  <c r="B188" i="2"/>
  <c r="P38" i="1"/>
  <c r="O199" i="2"/>
  <c r="N199" i="2"/>
  <c r="M199" i="2"/>
  <c r="L199" i="2"/>
  <c r="K199" i="2"/>
  <c r="J199" i="2"/>
  <c r="C197" i="2"/>
  <c r="D197" i="2"/>
  <c r="E197" i="2"/>
  <c r="F197" i="2"/>
  <c r="G197" i="2"/>
  <c r="B197" i="2"/>
  <c r="I177" i="2"/>
  <c r="H177" i="2"/>
  <c r="G177" i="2"/>
  <c r="C174" i="2"/>
  <c r="B174" i="2"/>
  <c r="P37" i="1"/>
  <c r="I125" i="2"/>
  <c r="I124" i="2"/>
  <c r="I123" i="2"/>
  <c r="I122" i="2"/>
  <c r="I121" i="2"/>
  <c r="I120" i="2"/>
  <c r="P36" i="1"/>
  <c r="P35" i="1"/>
  <c r="P34" i="1"/>
  <c r="O197" i="2"/>
  <c r="N197" i="2"/>
  <c r="M197" i="2"/>
  <c r="L197" i="2"/>
  <c r="K197" i="2"/>
  <c r="J197" i="2"/>
  <c r="I175" i="2"/>
  <c r="H175" i="2"/>
  <c r="G175" i="2"/>
  <c r="C175" i="2"/>
  <c r="B175" i="2"/>
  <c r="K163" i="2"/>
  <c r="B102" i="2"/>
  <c r="P33" i="1"/>
  <c r="P32" i="1"/>
  <c r="G71" i="2"/>
  <c r="G70" i="2"/>
  <c r="P31" i="1"/>
  <c r="P30" i="1"/>
  <c r="P29" i="1"/>
  <c r="P28" i="1"/>
  <c r="P27" i="1"/>
  <c r="P26" i="1"/>
  <c r="P25" i="1"/>
  <c r="P24" i="1"/>
  <c r="P23" i="1"/>
  <c r="P22" i="1"/>
  <c r="K203" i="2" l="1"/>
  <c r="J203" i="2"/>
  <c r="M203" i="2"/>
  <c r="L203" i="2"/>
  <c r="C57" i="2"/>
  <c r="H57" i="2" s="1"/>
  <c r="C62" i="2"/>
  <c r="H62" i="2" s="1"/>
  <c r="C71" i="2"/>
  <c r="H71" i="2" s="1"/>
  <c r="C63" i="2"/>
  <c r="H63" i="2" s="1"/>
  <c r="C58" i="2"/>
  <c r="H58" i="2" s="1"/>
  <c r="C60" i="2"/>
  <c r="H60" i="2" s="1"/>
  <c r="C67" i="2"/>
  <c r="H67" i="2" s="1"/>
  <c r="C56" i="2"/>
  <c r="H56" i="2" s="1"/>
  <c r="F76" i="2"/>
  <c r="C70" i="2"/>
  <c r="H70" i="2" s="1"/>
  <c r="C64" i="2"/>
  <c r="H64" i="2" s="1"/>
  <c r="C59" i="2"/>
  <c r="H59" i="2" s="1"/>
  <c r="C61" i="2"/>
  <c r="H61" i="2" s="1"/>
  <c r="C55" i="2"/>
  <c r="H55" i="2" s="1"/>
  <c r="C248" i="2"/>
  <c r="C251" i="2" s="1"/>
  <c r="B248" i="2"/>
  <c r="B251" i="2" s="1"/>
  <c r="E248" i="2"/>
  <c r="E251" i="2" s="1"/>
  <c r="D248" i="2"/>
  <c r="D251" i="2" s="1"/>
  <c r="B114" i="2"/>
  <c r="P12" i="1"/>
  <c r="P13" i="1"/>
  <c r="P14" i="1"/>
  <c r="P15" i="1"/>
  <c r="P16" i="1"/>
  <c r="P17" i="1"/>
  <c r="P18" i="1"/>
  <c r="P19" i="1"/>
  <c r="P20" i="1"/>
  <c r="P21" i="1"/>
  <c r="P11" i="1"/>
  <c r="N5" i="1"/>
  <c r="N6" i="1"/>
  <c r="N7" i="1"/>
  <c r="N8" i="1"/>
  <c r="N9" i="1"/>
  <c r="N10" i="1"/>
  <c r="N4" i="1"/>
  <c r="J177" i="2"/>
  <c r="J175" i="2"/>
  <c r="K175" i="2"/>
  <c r="K177" i="2"/>
  <c r="AB21" i="1"/>
  <c r="I20" i="1"/>
  <c r="M20" i="1" s="1"/>
  <c r="Q20" i="1" s="1"/>
  <c r="AB20" i="1" s="1"/>
  <c r="AH20" i="1" s="1"/>
  <c r="AM20" i="1" s="1"/>
  <c r="S141" i="2"/>
  <c r="S140" i="2"/>
  <c r="Q120" i="2"/>
  <c r="S120" i="2" s="1"/>
  <c r="X121" i="2"/>
  <c r="C73" i="2"/>
  <c r="C53" i="2"/>
  <c r="X120" i="2"/>
  <c r="N121" i="2"/>
  <c r="N122" i="2"/>
  <c r="N123" i="2"/>
  <c r="X123" i="2"/>
  <c r="S126" i="2"/>
  <c r="S125" i="2"/>
  <c r="C177" i="2" l="1"/>
  <c r="B177" i="2"/>
  <c r="K176" i="2"/>
  <c r="J198" i="2"/>
  <c r="K198" i="2"/>
  <c r="L198" i="2"/>
  <c r="M198" i="2"/>
  <c r="N198" i="2"/>
  <c r="O198" i="2"/>
  <c r="G176" i="2"/>
  <c r="H176" i="2"/>
  <c r="I176" i="2"/>
  <c r="J176" i="2"/>
  <c r="S124" i="2"/>
  <c r="N125" i="2"/>
  <c r="N120" i="2"/>
  <c r="S123" i="2"/>
  <c r="N124" i="2"/>
  <c r="X122" i="2"/>
  <c r="K70" i="2" l="1"/>
  <c r="K68" i="2"/>
  <c r="K58" i="2"/>
  <c r="K66" i="2"/>
  <c r="K62" i="2"/>
  <c r="K54" i="2"/>
  <c r="K53" i="2"/>
  <c r="K60" i="2"/>
  <c r="K67" i="2"/>
  <c r="K65" i="2"/>
  <c r="K61" i="2"/>
  <c r="K57" i="2"/>
  <c r="K69" i="2"/>
  <c r="K64" i="2"/>
  <c r="K59" i="2"/>
  <c r="K55" i="2"/>
  <c r="K63" i="2"/>
  <c r="K56" i="2"/>
  <c r="K71" i="2"/>
  <c r="S122" i="2"/>
  <c r="S121" i="2"/>
  <c r="D121" i="2"/>
  <c r="D122" i="2"/>
  <c r="D120" i="2"/>
  <c r="G65" i="2"/>
  <c r="G66" i="2"/>
  <c r="G68" i="2"/>
  <c r="G69" i="2"/>
  <c r="G72" i="2"/>
  <c r="G73" i="2"/>
  <c r="G53" i="2"/>
  <c r="C66" i="2"/>
  <c r="C65" i="2"/>
  <c r="C69" i="2"/>
  <c r="C68" i="2"/>
  <c r="C72" i="2"/>
  <c r="H53" i="2"/>
  <c r="B34" i="2"/>
  <c r="F46" i="2" s="1"/>
  <c r="B35" i="2"/>
  <c r="F47" i="2" s="1"/>
  <c r="B36" i="2"/>
  <c r="F48" i="2" s="1"/>
  <c r="B33" i="2"/>
  <c r="F45" i="2" s="1"/>
  <c r="B32" i="2"/>
  <c r="F44" i="2" s="1"/>
  <c r="B31" i="2"/>
  <c r="F43" i="2" s="1"/>
  <c r="B30" i="2"/>
  <c r="F42" i="2" s="1"/>
  <c r="B26" i="2"/>
  <c r="C20" i="2" s="1"/>
  <c r="F20" i="2" s="1"/>
  <c r="G7" i="2" s="1"/>
  <c r="B13" i="2"/>
  <c r="C5" i="2" s="1"/>
  <c r="H5" i="2" s="1"/>
  <c r="C74" i="2" l="1"/>
  <c r="H74" i="2" s="1"/>
  <c r="H72" i="2"/>
  <c r="H68" i="2"/>
  <c r="H66" i="2"/>
  <c r="H73" i="2"/>
  <c r="H65" i="2"/>
  <c r="H69" i="2"/>
  <c r="B38" i="2"/>
  <c r="C31" i="2" s="1"/>
  <c r="F31" i="2" s="1"/>
  <c r="F5" i="2" s="1"/>
  <c r="F50" i="2"/>
  <c r="C8" i="2"/>
  <c r="C4" i="2"/>
  <c r="H4" i="2" s="1"/>
  <c r="C7" i="2"/>
  <c r="H7" i="2" s="1"/>
  <c r="C11" i="2"/>
  <c r="H11" i="2" s="1"/>
  <c r="C6" i="2"/>
  <c r="H6" i="2" s="1"/>
  <c r="C10" i="2"/>
  <c r="H10" i="2" s="1"/>
  <c r="C22" i="2"/>
  <c r="F22" i="2" s="1"/>
  <c r="G9" i="2" s="1"/>
  <c r="C17" i="2"/>
  <c r="F17" i="2" s="1"/>
  <c r="G4" i="2" s="1"/>
  <c r="C21" i="2"/>
  <c r="F21" i="2" s="1"/>
  <c r="G8" i="2" s="1"/>
  <c r="C23" i="2"/>
  <c r="F23" i="2" s="1"/>
  <c r="G10" i="2" s="1"/>
  <c r="C19" i="2"/>
  <c r="F19" i="2" s="1"/>
  <c r="G6" i="2" s="1"/>
  <c r="C18" i="2"/>
  <c r="F18" i="2" s="1"/>
  <c r="G5" i="2" s="1"/>
  <c r="C24" i="2"/>
  <c r="F24" i="2" s="1"/>
  <c r="G11" i="2" s="1"/>
  <c r="C9" i="2"/>
  <c r="H9" i="2" s="1"/>
  <c r="H8" i="2" l="1"/>
  <c r="J56" i="2"/>
  <c r="J66" i="2"/>
  <c r="J67" i="2"/>
  <c r="J59" i="2"/>
  <c r="J53" i="2"/>
  <c r="J68" i="2"/>
  <c r="J57" i="2"/>
  <c r="J55" i="2"/>
  <c r="J54" i="2"/>
  <c r="J63" i="2"/>
  <c r="J71" i="2"/>
  <c r="J58" i="2"/>
  <c r="J64" i="2"/>
  <c r="J69" i="2"/>
  <c r="J70" i="2"/>
  <c r="J61" i="2"/>
  <c r="J65" i="2"/>
  <c r="J62" i="2"/>
  <c r="J60" i="2"/>
  <c r="C36" i="2"/>
  <c r="F36" i="2" s="1"/>
  <c r="F11" i="2" s="1"/>
  <c r="C32" i="2"/>
  <c r="F32" i="2" s="1"/>
  <c r="F6" i="2" s="1"/>
  <c r="C35" i="2"/>
  <c r="F35" i="2" s="1"/>
  <c r="F10" i="2" s="1"/>
  <c r="C30" i="2"/>
  <c r="F30" i="2" s="1"/>
  <c r="F4" i="2" s="1"/>
  <c r="C33" i="2"/>
  <c r="F33" i="2" s="1"/>
  <c r="F8" i="2" s="1"/>
  <c r="C34" i="2"/>
  <c r="F34" i="2" s="1"/>
  <c r="F9" i="2" s="1"/>
  <c r="G44" i="2"/>
  <c r="G48" i="2"/>
  <c r="G45" i="2"/>
  <c r="G46" i="2"/>
  <c r="G43" i="2"/>
  <c r="G47" i="2"/>
  <c r="G42" i="2"/>
  <c r="C38" i="2" l="1"/>
  <c r="B49" i="2"/>
</calcChain>
</file>

<file path=xl/sharedStrings.xml><?xml version="1.0" encoding="utf-8"?>
<sst xmlns="http://schemas.openxmlformats.org/spreadsheetml/2006/main" count="428" uniqueCount="153">
  <si>
    <t>Unprobed</t>
  </si>
  <si>
    <t>Labour</t>
  </si>
  <si>
    <t>National</t>
  </si>
  <si>
    <t>ACT</t>
  </si>
  <si>
    <t>Green</t>
  </si>
  <si>
    <t>Maori</t>
  </si>
  <si>
    <t>NZ First</t>
  </si>
  <si>
    <t>Other</t>
  </si>
  <si>
    <t>Unsure</t>
  </si>
  <si>
    <t>Probed</t>
  </si>
  <si>
    <t>Decided</t>
  </si>
  <si>
    <t>Seats</t>
  </si>
  <si>
    <t>Greens</t>
  </si>
  <si>
    <t>Economy</t>
  </si>
  <si>
    <t>Leaders</t>
  </si>
  <si>
    <t>Policies</t>
  </si>
  <si>
    <t>Environment</t>
  </si>
  <si>
    <t>Housing</t>
  </si>
  <si>
    <t>Poverty</t>
  </si>
  <si>
    <t>Health</t>
  </si>
  <si>
    <t>Total</t>
  </si>
  <si>
    <t>Pref PM</t>
  </si>
  <si>
    <t>Ardern</t>
  </si>
  <si>
    <t>Collins</t>
  </si>
  <si>
    <t>Seymour</t>
  </si>
  <si>
    <t>Peters</t>
  </si>
  <si>
    <t>Luxon</t>
  </si>
  <si>
    <t>Bridges</t>
  </si>
  <si>
    <t>Right</t>
  </si>
  <si>
    <t>Wrong</t>
  </si>
  <si>
    <t>Fav</t>
  </si>
  <si>
    <t>Shaw</t>
  </si>
  <si>
    <t>Davidson</t>
  </si>
  <si>
    <t>Unfav</t>
  </si>
  <si>
    <t>Net Fav</t>
  </si>
  <si>
    <t>Crime</t>
  </si>
  <si>
    <t>Nat</t>
  </si>
  <si>
    <t>Lab</t>
  </si>
  <si>
    <t>Gender</t>
  </si>
  <si>
    <t>Females</t>
  </si>
  <si>
    <t>Males</t>
  </si>
  <si>
    <t>Age</t>
  </si>
  <si>
    <t>Under 40</t>
  </si>
  <si>
    <t>60+</t>
  </si>
  <si>
    <t>40 - 59</t>
  </si>
  <si>
    <t>Area</t>
  </si>
  <si>
    <t>Akl</t>
  </si>
  <si>
    <t>Wlg</t>
  </si>
  <si>
    <t>Chch</t>
  </si>
  <si>
    <t>Prov Cities</t>
  </si>
  <si>
    <t>Towns</t>
  </si>
  <si>
    <t>Rural</t>
  </si>
  <si>
    <t>Net</t>
  </si>
  <si>
    <t>Bishop</t>
  </si>
  <si>
    <t>Robertson</t>
  </si>
  <si>
    <t>Hipkins</t>
  </si>
  <si>
    <t>Swarbrick</t>
  </si>
  <si>
    <t>Nats</t>
  </si>
  <si>
    <t>Mahuta</t>
  </si>
  <si>
    <t>Willis</t>
  </si>
  <si>
    <t>Little</t>
  </si>
  <si>
    <t>Reti</t>
  </si>
  <si>
    <t>CL</t>
  </si>
  <si>
    <t>CR</t>
  </si>
  <si>
    <t>Davis</t>
  </si>
  <si>
    <t>Woods</t>
  </si>
  <si>
    <t>Genter</t>
  </si>
  <si>
    <t>Cost of Living</t>
  </si>
  <si>
    <t>Williams</t>
  </si>
  <si>
    <t>Nash</t>
  </si>
  <si>
    <t>Law &amp; Order</t>
  </si>
  <si>
    <t>Inflation</t>
  </si>
  <si>
    <t>C</t>
  </si>
  <si>
    <t>Decided Party Vote over time (page 1)</t>
  </si>
  <si>
    <t>Party Vote (page 2)</t>
  </si>
  <si>
    <t>Projected Seats (page 3)</t>
  </si>
  <si>
    <t>Seats (page 4)</t>
  </si>
  <si>
    <t>Party Vote by Area (page 6)</t>
  </si>
  <si>
    <t>Party Vote by Gender and Age (page 5)</t>
  </si>
  <si>
    <t>Favourability (page 8)</t>
  </si>
  <si>
    <t>Net Favourability over time (page 9)</t>
  </si>
  <si>
    <t>Net Favourability by Current Party Vote (page 10)</t>
  </si>
  <si>
    <t>Country Direction over time (page 11)</t>
  </si>
  <si>
    <t>Country Direction (page 12)</t>
  </si>
  <si>
    <t>Major Voting Issue (page 13)</t>
  </si>
  <si>
    <t>Major Voting Issues over time (page 14)</t>
  </si>
  <si>
    <t>Party best at (page 15)</t>
  </si>
  <si>
    <t>Labour's lead over National on issues over time (page 16)</t>
  </si>
  <si>
    <t>Preferred Prime Minister over time (page 7)</t>
  </si>
  <si>
    <t>Ardern/Hipkins</t>
  </si>
  <si>
    <t>Education</t>
  </si>
  <si>
    <t>Taxes</t>
  </si>
  <si>
    <t>CL - CR</t>
  </si>
  <si>
    <t>Waititi</t>
  </si>
  <si>
    <t>TPM</t>
  </si>
  <si>
    <t>NZF</t>
  </si>
  <si>
    <t>Treaty</t>
  </si>
  <si>
    <t>Employment</t>
  </si>
  <si>
    <t>Approval</t>
  </si>
  <si>
    <t>Strongly disapprove</t>
  </si>
  <si>
    <t>Somewhat disapprove</t>
  </si>
  <si>
    <t>Neutral</t>
  </si>
  <si>
    <t>Somewhat approve</t>
  </si>
  <si>
    <t>Strongly approve</t>
  </si>
  <si>
    <t>Approve</t>
  </si>
  <si>
    <t>Disapprove</t>
  </si>
  <si>
    <t>Net Approval</t>
  </si>
  <si>
    <t>Issue Importance</t>
  </si>
  <si>
    <t>Safety</t>
  </si>
  <si>
    <t>Spending</t>
  </si>
  <si>
    <t>Net Nat</t>
  </si>
  <si>
    <t>Net CR</t>
  </si>
  <si>
    <t>Top</t>
  </si>
  <si>
    <t>Top 3</t>
  </si>
  <si>
    <t>Major Party Votes</t>
  </si>
  <si>
    <t>2023 PV</t>
  </si>
  <si>
    <t>Te Pati Maori</t>
  </si>
  <si>
    <t>New Conservatives</t>
  </si>
  <si>
    <t>TOP</t>
  </si>
  <si>
    <t>NZ Loyal</t>
  </si>
  <si>
    <t>Unsure/refuse</t>
  </si>
  <si>
    <t>Count</t>
  </si>
  <si>
    <t>Probed Party Vote</t>
  </si>
  <si>
    <t>Democracy NZ</t>
  </si>
  <si>
    <t>Outdoors &amp; Freedom</t>
  </si>
  <si>
    <t>Vision NZ</t>
  </si>
  <si>
    <t>Refuse</t>
  </si>
  <si>
    <t>2023 National voters</t>
  </si>
  <si>
    <t>Others</t>
  </si>
  <si>
    <t>2023 Labour voters</t>
  </si>
  <si>
    <t>Current Nat voters</t>
  </si>
  <si>
    <t>Current Labour voters</t>
  </si>
  <si>
    <t>Covid-19</t>
  </si>
  <si>
    <t>Help families</t>
  </si>
  <si>
    <t>Transport</t>
  </si>
  <si>
    <t>Infrastructure</t>
  </si>
  <si>
    <t>Immigration</t>
  </si>
  <si>
    <t>Social Division</t>
  </si>
  <si>
    <t>Rank</t>
  </si>
  <si>
    <t>Ngarewa-Packer</t>
  </si>
  <si>
    <t>Tax</t>
  </si>
  <si>
    <t>Waste</t>
  </si>
  <si>
    <t>Stanford</t>
  </si>
  <si>
    <t>Rank Top 3</t>
  </si>
  <si>
    <t>European</t>
  </si>
  <si>
    <t>Māori</t>
  </si>
  <si>
    <t>Pacific</t>
  </si>
  <si>
    <t>Asian</t>
  </si>
  <si>
    <t>Rawhiti</t>
  </si>
  <si>
    <t>McAnulty</t>
  </si>
  <si>
    <t>Jones</t>
  </si>
  <si>
    <t>Brown</t>
  </si>
  <si>
    <t>Freedoms 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</si>
</sst>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1020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17" fontId="0" fillId="0" borderId="0" xfId="0" applyNumberFormat="1"/>
    <xf numFmtId="10" fontId="0" fillId="0" borderId="0" xfId="0" applyNumberFormat="1"/>
    <xf numFmtId="9" fontId="0" fillId="0" borderId="0" xfId="0" applyNumberFormat="1"/>
    <xf numFmtId="165" fontId="0" fillId="0" borderId="0" xfId="2" applyNumberFormat="1" applyFont="1"/>
    <xf numFmtId="0" fontId="2" fillId="0" borderId="0" xfId="0" applyFont="1"/>
    <xf numFmtId="166" fontId="0" fillId="0" borderId="0" xfId="2" applyNumberFormat="1" applyFon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10" fontId="3" fillId="0" borderId="0" xfId="0" applyNumberFormat="1" applyFont="1"/>
    <xf numFmtId="0" fontId="0" fillId="0" borderId="0" xfId="0" applyFont="1"/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B26CAF"/>
      <color rgb="FFED31C9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26" Type="http://schemas.openxmlformats.org/officeDocument/2006/relationships/chartsheet" Target="chartsheets/sheet23.xml"/><Relationship Id="rId3" Type="http://schemas.openxmlformats.org/officeDocument/2006/relationships/chartsheet" Target="chartsheets/sheet3.xml"/><Relationship Id="rId21" Type="http://schemas.openxmlformats.org/officeDocument/2006/relationships/chartsheet" Target="chartsheets/sheet18.xml"/><Relationship Id="rId34" Type="http://schemas.openxmlformats.org/officeDocument/2006/relationships/customXml" Target="../customXml/item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chartsheet" Target="chartsheets/sheet22.xml"/><Relationship Id="rId33" Type="http://schemas.openxmlformats.org/officeDocument/2006/relationships/calcChain" Target="calcChain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4.xml"/><Relationship Id="rId20" Type="http://schemas.openxmlformats.org/officeDocument/2006/relationships/worksheet" Target="worksheets/sheet3.xml"/><Relationship Id="rId29" Type="http://schemas.openxmlformats.org/officeDocument/2006/relationships/worksheet" Target="worksheets/sheet4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chartsheet" Target="chartsheets/sheet9.xml"/><Relationship Id="rId24" Type="http://schemas.openxmlformats.org/officeDocument/2006/relationships/chartsheet" Target="chartsheets/sheet21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15" Type="http://schemas.openxmlformats.org/officeDocument/2006/relationships/chartsheet" Target="chartsheets/sheet13.xml"/><Relationship Id="rId23" Type="http://schemas.openxmlformats.org/officeDocument/2006/relationships/chartsheet" Target="chartsheets/sheet20.xml"/><Relationship Id="rId28" Type="http://schemas.openxmlformats.org/officeDocument/2006/relationships/chartsheet" Target="chartsheets/sheet25.xml"/><Relationship Id="rId36" Type="http://schemas.openxmlformats.org/officeDocument/2006/relationships/customXml" Target="../customXml/item3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31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19.xml"/><Relationship Id="rId27" Type="http://schemas.openxmlformats.org/officeDocument/2006/relationships/chartsheet" Target="chartsheets/sheet24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chartsheet" Target="chart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/>
              <a:t>Current Labour</a:t>
            </a:r>
            <a:br>
              <a:rPr lang="en-GB" sz="2400" b="1"/>
            </a:br>
            <a:r>
              <a:rPr lang="en-GB" sz="2400" b="1"/>
              <a:t>Voters</a:t>
            </a:r>
          </a:p>
        </c:rich>
      </c:tx>
      <c:layout>
        <c:manualLayout>
          <c:xMode val="edge"/>
          <c:yMode val="edge"/>
          <c:x val="2.8982393571883372E-4"/>
          <c:y val="0.41004184100418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'This Month'!$E$241:$E$242</c:f>
              <c:strCache>
                <c:ptCount val="2"/>
                <c:pt idx="0">
                  <c:v>Current Labour voters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1A8-DF40-93D7-A4DCB0B49A4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1A8-DF40-93D7-A4DCB0B49A4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1A8-DF40-93D7-A4DCB0B49A4A}"/>
              </c:ext>
            </c:extLst>
          </c:dPt>
          <c:dPt>
            <c:idx val="3"/>
            <c:bubble3D val="0"/>
            <c:spPr>
              <a:solidFill>
                <a:schemeClr val="tx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1A8-DF40-93D7-A4DCB0B49A4A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1A8-DF40-93D7-A4DCB0B49A4A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1A8-DF40-93D7-A4DCB0B49A4A}"/>
              </c:ext>
            </c:extLst>
          </c:dPt>
          <c:dPt>
            <c:idx val="6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1A8-DF40-93D7-A4DCB0B49A4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'This Month'!$A$243:$A$249</c:f>
              <c:strCache>
                <c:ptCount val="7"/>
                <c:pt idx="0">
                  <c:v>Nat</c:v>
                </c:pt>
                <c:pt idx="1">
                  <c:v>Lab</c:v>
                </c:pt>
                <c:pt idx="2">
                  <c:v>ACT</c:v>
                </c:pt>
                <c:pt idx="3">
                  <c:v>NZF</c:v>
                </c:pt>
                <c:pt idx="4">
                  <c:v>Greens</c:v>
                </c:pt>
                <c:pt idx="5">
                  <c:v>Others</c:v>
                </c:pt>
                <c:pt idx="6">
                  <c:v>Unsure</c:v>
                </c:pt>
              </c:strCache>
            </c:strRef>
          </c:cat>
          <c:val>
            <c:numRef>
              <c:f>'This Month'!$E$243:$E$249</c:f>
              <c:numCache>
                <c:formatCode>0%</c:formatCode>
                <c:ptCount val="7"/>
                <c:pt idx="0">
                  <c:v>0.11072664359861592</c:v>
                </c:pt>
                <c:pt idx="1">
                  <c:v>0.60553633217993075</c:v>
                </c:pt>
                <c:pt idx="2">
                  <c:v>4.8442906574394463E-2</c:v>
                </c:pt>
                <c:pt idx="3">
                  <c:v>3.4602076124567477E-2</c:v>
                </c:pt>
                <c:pt idx="4">
                  <c:v>0.11072664359861592</c:v>
                </c:pt>
                <c:pt idx="5">
                  <c:v>6.574394463667825E-2</c:v>
                </c:pt>
                <c:pt idx="6">
                  <c:v>2.4221453287197232E-2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1A8-DF40-93D7-A4DCB0B49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/>
              <a:t>Current National</a:t>
            </a:r>
            <a:br>
              <a:rPr lang="en-GB" sz="2400" b="1"/>
            </a:br>
            <a:r>
              <a:rPr lang="en-GB" sz="2400" b="1"/>
              <a:t>Voters</a:t>
            </a:r>
          </a:p>
        </c:rich>
      </c:tx>
      <c:layout>
        <c:manualLayout>
          <c:xMode val="edge"/>
          <c:yMode val="edge"/>
          <c:x val="2.8982393571883372E-4"/>
          <c:y val="0.41004184100418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'This Month'!$D$241:$D$242</c:f>
              <c:strCache>
                <c:ptCount val="2"/>
                <c:pt idx="0">
                  <c:v>Current Nat voters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44-1844-AC6E-1B55886221E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44-1844-AC6E-1B55886221E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C44-1844-AC6E-1B55886221E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C44-1844-AC6E-1B55886221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C44-1844-AC6E-1B55886221E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C44-1844-AC6E-1B55886221EF}"/>
              </c:ext>
            </c:extLst>
          </c:dPt>
          <c:dPt>
            <c:idx val="6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C44-1844-AC6E-1B55886221EF}"/>
              </c:ext>
            </c:extLst>
          </c:dPt>
          <c:dLbls>
            <c:dLbl>
              <c:idx val="2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44-1844-AC6E-1B55886221EF}"/>
                </c:ext>
              </c:extLst>
            </c:dLbl>
            <c:dLbl>
              <c:idx val="3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44-1844-AC6E-1B55886221EF}"/>
                </c:ext>
              </c:extLst>
            </c:dLbl>
            <c:dLbl>
              <c:idx val="4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44-1844-AC6E-1B55886221EF}"/>
                </c:ext>
              </c:extLst>
            </c:dLbl>
            <c:dLbl>
              <c:idx val="6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C44-1844-AC6E-1B55886221E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'This Month'!$A$243:$A$249</c:f>
              <c:strCache>
                <c:ptCount val="7"/>
                <c:pt idx="0">
                  <c:v>Nat</c:v>
                </c:pt>
                <c:pt idx="1">
                  <c:v>Lab</c:v>
                </c:pt>
                <c:pt idx="2">
                  <c:v>ACT</c:v>
                </c:pt>
                <c:pt idx="3">
                  <c:v>NZF</c:v>
                </c:pt>
                <c:pt idx="4">
                  <c:v>Greens</c:v>
                </c:pt>
                <c:pt idx="5">
                  <c:v>Others</c:v>
                </c:pt>
                <c:pt idx="6">
                  <c:v>Unsure</c:v>
                </c:pt>
              </c:strCache>
            </c:strRef>
          </c:cat>
          <c:val>
            <c:numRef>
              <c:f>'This Month'!$D$243:$D$249</c:f>
              <c:numCache>
                <c:formatCode>0%</c:formatCode>
                <c:ptCount val="7"/>
                <c:pt idx="0">
                  <c:v>0.92200557103064062</c:v>
                </c:pt>
                <c:pt idx="1">
                  <c:v>1.6713091922005572E-2</c:v>
                </c:pt>
                <c:pt idx="2">
                  <c:v>8.356545961002786E-3</c:v>
                </c:pt>
                <c:pt idx="3">
                  <c:v>5.5710306406685237E-3</c:v>
                </c:pt>
                <c:pt idx="4">
                  <c:v>0</c:v>
                </c:pt>
                <c:pt idx="5">
                  <c:v>5.5710306406685853E-3</c:v>
                </c:pt>
                <c:pt idx="6">
                  <c:v>4.1782729805013928E-2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C44-1844-AC6E-1B5588622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/>
              <a:t>2023 Labour</a:t>
            </a:r>
            <a:br>
              <a:rPr lang="en-GB" sz="2400" b="1"/>
            </a:br>
            <a:r>
              <a:rPr lang="en-GB" sz="2400" b="1"/>
              <a:t>Voters</a:t>
            </a:r>
          </a:p>
        </c:rich>
      </c:tx>
      <c:layout>
        <c:manualLayout>
          <c:xMode val="edge"/>
          <c:yMode val="edge"/>
          <c:x val="2.8982393571883372E-4"/>
          <c:y val="0.41004184100418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'This Month'!$C$241:$C$242</c:f>
              <c:strCache>
                <c:ptCount val="2"/>
                <c:pt idx="0">
                  <c:v>2023 Labour voters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C2-9440-AA9B-FDC7789286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C2-9440-AA9B-FDC7789286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0C2-9440-AA9B-FDC77892867F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0C2-9440-AA9B-FDC77892867F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0C2-9440-AA9B-FDC77892867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0C2-9440-AA9B-FDC77892867F}"/>
              </c:ext>
            </c:extLst>
          </c:dPt>
          <c:dPt>
            <c:idx val="6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0C2-9440-AA9B-FDC77892867F}"/>
              </c:ext>
            </c:extLst>
          </c:dPt>
          <c:dLbls>
            <c:dLbl>
              <c:idx val="3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C2-9440-AA9B-FDC77892867F}"/>
                </c:ext>
              </c:extLst>
            </c:dLbl>
            <c:dLbl>
              <c:idx val="4"/>
              <c:layout>
                <c:manualLayout>
                  <c:x val="-3.5470668485675309E-2"/>
                  <c:y val="-4.60251046025104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C2-9440-AA9B-FDC77892867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'This Month'!$A$243:$A$249</c:f>
              <c:strCache>
                <c:ptCount val="7"/>
                <c:pt idx="0">
                  <c:v>Nat</c:v>
                </c:pt>
                <c:pt idx="1">
                  <c:v>Lab</c:v>
                </c:pt>
                <c:pt idx="2">
                  <c:v>ACT</c:v>
                </c:pt>
                <c:pt idx="3">
                  <c:v>NZF</c:v>
                </c:pt>
                <c:pt idx="4">
                  <c:v>Greens</c:v>
                </c:pt>
                <c:pt idx="5">
                  <c:v>Others</c:v>
                </c:pt>
                <c:pt idx="6">
                  <c:v>Unsure</c:v>
                </c:pt>
              </c:strCache>
            </c:strRef>
          </c:cat>
          <c:val>
            <c:numRef>
              <c:f>'This Month'!$C$243:$C$249</c:f>
              <c:numCache>
                <c:formatCode>0%</c:formatCode>
                <c:ptCount val="7"/>
                <c:pt idx="0">
                  <c:v>2.7777777777777776E-2</c:v>
                </c:pt>
                <c:pt idx="1">
                  <c:v>0.81018518518518523</c:v>
                </c:pt>
                <c:pt idx="2">
                  <c:v>4.6296296296296294E-3</c:v>
                </c:pt>
                <c:pt idx="3">
                  <c:v>1.8518518518518517E-2</c:v>
                </c:pt>
                <c:pt idx="4">
                  <c:v>4.6296296296296294E-2</c:v>
                </c:pt>
                <c:pt idx="5">
                  <c:v>1.851851851851849E-2</c:v>
                </c:pt>
                <c:pt idx="6">
                  <c:v>7.407407407407407E-2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C2-9440-AA9B-FDC778928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/>
              <a:t>2023 National</a:t>
            </a:r>
            <a:br>
              <a:rPr lang="en-GB" sz="2400" b="1"/>
            </a:br>
            <a:r>
              <a:rPr lang="en-GB" sz="2400" b="1"/>
              <a:t>Voters</a:t>
            </a:r>
          </a:p>
        </c:rich>
      </c:tx>
      <c:layout>
        <c:manualLayout>
          <c:xMode val="edge"/>
          <c:yMode val="edge"/>
          <c:x val="2.8982393571883372E-4"/>
          <c:y val="0.41004184100418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'This Month'!$B$241:$B$242</c:f>
              <c:strCache>
                <c:ptCount val="2"/>
                <c:pt idx="0">
                  <c:v>2023 National voters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A51-D944-8CC5-C8FC073231D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A51-D944-8CC5-C8FC073231D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A51-D944-8CC5-C8FC073231D1}"/>
              </c:ext>
            </c:extLst>
          </c:dPt>
          <c:dPt>
            <c:idx val="3"/>
            <c:bubble3D val="0"/>
            <c:spPr>
              <a:solidFill>
                <a:schemeClr val="tx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A51-D944-8CC5-C8FC073231D1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A51-D944-8CC5-C8FC073231D1}"/>
              </c:ext>
            </c:extLst>
          </c:dPt>
          <c:dPt>
            <c:idx val="5"/>
            <c:bubble3D val="0"/>
            <c:spPr>
              <a:solidFill>
                <a:srgbClr val="B26CA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A51-D944-8CC5-C8FC073231D1}"/>
              </c:ext>
            </c:extLst>
          </c:dPt>
          <c:dPt>
            <c:idx val="6"/>
            <c:bubble3D val="0"/>
            <c:spPr>
              <a:solidFill>
                <a:schemeClr val="accent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A51-D944-8CC5-C8FC073231D1}"/>
              </c:ext>
            </c:extLst>
          </c:dPt>
          <c:dLbls>
            <c:dLbl>
              <c:idx val="2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51-D944-8CC5-C8FC073231D1}"/>
                </c:ext>
              </c:extLst>
            </c:dLbl>
            <c:dLbl>
              <c:idx val="3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51-D944-8CC5-C8FC073231D1}"/>
                </c:ext>
              </c:extLst>
            </c:dLbl>
            <c:dLbl>
              <c:idx val="4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51-D944-8CC5-C8FC073231D1}"/>
                </c:ext>
              </c:extLst>
            </c:dLbl>
            <c:dLbl>
              <c:idx val="5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A51-D944-8CC5-C8FC073231D1}"/>
                </c:ext>
              </c:extLst>
            </c:dLbl>
            <c:dLbl>
              <c:idx val="6"/>
              <c:layout>
                <c:manualLayout>
                  <c:x val="4.5020463847203179E-2"/>
                  <c:y val="5.230125523012559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3792740436776916E-2"/>
                      <c:h val="9.52783909333509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EA51-D944-8CC5-C8FC073231D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'This Month'!$A$243:$A$249</c:f>
              <c:strCache>
                <c:ptCount val="7"/>
                <c:pt idx="0">
                  <c:v>Nat</c:v>
                </c:pt>
                <c:pt idx="1">
                  <c:v>Lab</c:v>
                </c:pt>
                <c:pt idx="2">
                  <c:v>ACT</c:v>
                </c:pt>
                <c:pt idx="3">
                  <c:v>NZF</c:v>
                </c:pt>
                <c:pt idx="4">
                  <c:v>Greens</c:v>
                </c:pt>
                <c:pt idx="5">
                  <c:v>Others</c:v>
                </c:pt>
                <c:pt idx="6">
                  <c:v>Unsure</c:v>
                </c:pt>
              </c:strCache>
            </c:strRef>
          </c:cat>
          <c:val>
            <c:numRef>
              <c:f>'This Month'!$B$243:$B$249</c:f>
              <c:numCache>
                <c:formatCode>0%</c:formatCode>
                <c:ptCount val="7"/>
                <c:pt idx="0">
                  <c:v>0.81930693069306926</c:v>
                </c:pt>
                <c:pt idx="1">
                  <c:v>7.9207920792079209E-2</c:v>
                </c:pt>
                <c:pt idx="2">
                  <c:v>5.1980198019801978E-2</c:v>
                </c:pt>
                <c:pt idx="3">
                  <c:v>1.4851485148514851E-2</c:v>
                </c:pt>
                <c:pt idx="4">
                  <c:v>1.2376237623762377E-2</c:v>
                </c:pt>
                <c:pt idx="5">
                  <c:v>1.9801980198019823E-2</c:v>
                </c:pt>
                <c:pt idx="6">
                  <c:v>2.4752475247524753E-3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A51-D944-8CC5-C8FC0732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Decided Party Vote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Time!$B$3</c:f>
              <c:strCache>
                <c:ptCount val="1"/>
                <c:pt idx="0">
                  <c:v>Labour</c:v>
                </c:pt>
              </c:strCache>
            </c:strRef>
          </c:tx>
          <c:spPr>
            <a:ln w="635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Time!$A$4:$A$104</c:f>
              <c:numCache>
                <c:formatCode>mmm\-yy</c:formatCode>
                <c:ptCount val="10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45213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  <c:pt idx="46">
                  <c:v>45566</c:v>
                </c:pt>
                <c:pt idx="47">
                  <c:v>45597</c:v>
                </c:pt>
                <c:pt idx="48">
                  <c:v>45627</c:v>
                </c:pt>
                <c:pt idx="49">
                  <c:v>45658</c:v>
                </c:pt>
                <c:pt idx="50">
                  <c:v>45689</c:v>
                </c:pt>
                <c:pt idx="51">
                  <c:v>45717</c:v>
                </c:pt>
                <c:pt idx="52">
                  <c:v>45748</c:v>
                </c:pt>
                <c:pt idx="53">
                  <c:v>45778</c:v>
                </c:pt>
                <c:pt idx="54">
                  <c:v>45809</c:v>
                </c:pt>
                <c:pt idx="55">
                  <c:v>45839</c:v>
                </c:pt>
                <c:pt idx="56">
                  <c:v>45870</c:v>
                </c:pt>
                <c:pt idx="57">
                  <c:v>45901</c:v>
                </c:pt>
                <c:pt idx="58">
                  <c:v>45931</c:v>
                </c:pt>
                <c:pt idx="59">
                  <c:v>45962</c:v>
                </c:pt>
                <c:pt idx="60">
                  <c:v>45992</c:v>
                </c:pt>
                <c:pt idx="61">
                  <c:v>46023</c:v>
                </c:pt>
              </c:numCache>
            </c:numRef>
          </c:cat>
          <c:val>
            <c:numRef>
              <c:f>Time!$B$4:$B$104</c:f>
              <c:numCache>
                <c:formatCode>0%</c:formatCode>
                <c:ptCount val="101"/>
                <c:pt idx="0">
                  <c:v>0.47</c:v>
                </c:pt>
                <c:pt idx="1">
                  <c:v>0.45</c:v>
                </c:pt>
                <c:pt idx="2">
                  <c:v>0.47</c:v>
                </c:pt>
                <c:pt idx="3">
                  <c:v>0.42</c:v>
                </c:pt>
                <c:pt idx="4">
                  <c:v>0.48</c:v>
                </c:pt>
                <c:pt idx="5">
                  <c:v>0.39</c:v>
                </c:pt>
                <c:pt idx="6">
                  <c:v>0.41</c:v>
                </c:pt>
                <c:pt idx="7">
                  <c:v>0.4</c:v>
                </c:pt>
                <c:pt idx="8">
                  <c:v>0.45800000000000002</c:v>
                </c:pt>
                <c:pt idx="9">
                  <c:v>0.44700000000000001</c:v>
                </c:pt>
                <c:pt idx="10">
                  <c:v>0.39399999999999996</c:v>
                </c:pt>
                <c:pt idx="11">
                  <c:v>0.39399999999999996</c:v>
                </c:pt>
                <c:pt idx="12">
                  <c:v>0.41200000000000003</c:v>
                </c:pt>
                <c:pt idx="13">
                  <c:v>0.42299999999999999</c:v>
                </c:pt>
                <c:pt idx="14">
                  <c:v>0.36200000000000004</c:v>
                </c:pt>
                <c:pt idx="15">
                  <c:v>0.36799999999999999</c:v>
                </c:pt>
                <c:pt idx="16">
                  <c:v>0.34200000000000003</c:v>
                </c:pt>
                <c:pt idx="17">
                  <c:v>0.34200000000000003</c:v>
                </c:pt>
                <c:pt idx="18">
                  <c:v>0.34700000000000003</c:v>
                </c:pt>
                <c:pt idx="19">
                  <c:v>0.35200000000000004</c:v>
                </c:pt>
                <c:pt idx="20">
                  <c:v>0.33399999999999996</c:v>
                </c:pt>
                <c:pt idx="21">
                  <c:v>0.34399999999999997</c:v>
                </c:pt>
                <c:pt idx="22">
                  <c:v>0.35299999999999998</c:v>
                </c:pt>
                <c:pt idx="23">
                  <c:v>0.33100000000000002</c:v>
                </c:pt>
                <c:pt idx="24">
                  <c:v>0.317</c:v>
                </c:pt>
                <c:pt idx="25">
                  <c:v>0.34399999999999997</c:v>
                </c:pt>
                <c:pt idx="26">
                  <c:v>0.35499999999999998</c:v>
                </c:pt>
                <c:pt idx="27">
                  <c:v>0.36899999999999999</c:v>
                </c:pt>
                <c:pt idx="28">
                  <c:v>0.33799999999999997</c:v>
                </c:pt>
                <c:pt idx="29">
                  <c:v>0.32899999999999996</c:v>
                </c:pt>
                <c:pt idx="30">
                  <c:v>0.311</c:v>
                </c:pt>
                <c:pt idx="31">
                  <c:v>0.27100000000000002</c:v>
                </c:pt>
                <c:pt idx="32" formatCode="0.0%">
                  <c:v>0.26500000000000001</c:v>
                </c:pt>
                <c:pt idx="33" formatCode="0.0%">
                  <c:v>0.27899999999999997</c:v>
                </c:pt>
                <c:pt idx="34" formatCode="0.0%">
                  <c:v>0.26900000000000002</c:v>
                </c:pt>
                <c:pt idx="35" formatCode="0.0%">
                  <c:v>0.28299999999999997</c:v>
                </c:pt>
                <c:pt idx="36" formatCode="0.0%">
                  <c:v>0.28799999999999998</c:v>
                </c:pt>
                <c:pt idx="37" formatCode="0.0%">
                  <c:v>0.28399999999999997</c:v>
                </c:pt>
                <c:pt idx="38" formatCode="0.0%">
                  <c:v>0.27900000000000003</c:v>
                </c:pt>
                <c:pt idx="39" formatCode="0.0%">
                  <c:v>0.253</c:v>
                </c:pt>
                <c:pt idx="40" formatCode="0.0%">
                  <c:v>0.25700000000000001</c:v>
                </c:pt>
                <c:pt idx="41" formatCode="0.0%">
                  <c:v>0.3</c:v>
                </c:pt>
                <c:pt idx="42" formatCode="0.0%">
                  <c:v>0.29399999999999998</c:v>
                </c:pt>
                <c:pt idx="43" formatCode="0.0%">
                  <c:v>0.25900000000000001</c:v>
                </c:pt>
                <c:pt idx="44" formatCode="0.0%">
                  <c:v>0.29099999999999998</c:v>
                </c:pt>
                <c:pt idx="45" formatCode="0.0%">
                  <c:v>0.26700000000000002</c:v>
                </c:pt>
                <c:pt idx="46" formatCode="0.0%">
                  <c:v>0.30299999999999999</c:v>
                </c:pt>
                <c:pt idx="47" formatCode="0.0%">
                  <c:v>0.315</c:v>
                </c:pt>
                <c:pt idx="48" formatCode="0.0%">
                  <c:v>0.26900000000000002</c:v>
                </c:pt>
                <c:pt idx="49" formatCode="0.0%">
                  <c:v>0.309</c:v>
                </c:pt>
                <c:pt idx="50" formatCode="0.0%">
                  <c:v>0.313</c:v>
                </c:pt>
                <c:pt idx="51" formatCode="0.0%">
                  <c:v>0.34100000000000003</c:v>
                </c:pt>
                <c:pt idx="52" formatCode="0.0%">
                  <c:v>0.29799999999999999</c:v>
                </c:pt>
                <c:pt idx="53" formatCode="0.0%">
                  <c:v>0.33200000000000002</c:v>
                </c:pt>
                <c:pt idx="54" formatCode="0.0%">
                  <c:v>0.34799999999999998</c:v>
                </c:pt>
                <c:pt idx="55" formatCode="0.0%">
                  <c:v>0.316</c:v>
                </c:pt>
                <c:pt idx="56" formatCode="0.0%">
                  <c:v>0.33600000000000002</c:v>
                </c:pt>
                <c:pt idx="57" formatCode="0.0%">
                  <c:v>0.33800000000000002</c:v>
                </c:pt>
                <c:pt idx="58" formatCode="0.0%">
                  <c:v>0.312</c:v>
                </c:pt>
                <c:pt idx="59" formatCode="0.0%">
                  <c:v>0.33300000000000002</c:v>
                </c:pt>
                <c:pt idx="60" formatCode="0.0%">
                  <c:v>0.316</c:v>
                </c:pt>
                <c:pt idx="61" formatCode="0.0%">
                  <c:v>0.34399999999999997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4-46F5-B27A-33A7B5DC50F4}"/>
            </c:ext>
          </c:extLst>
        </c:ser>
        <c:ser>
          <c:idx val="1"/>
          <c:order val="1"/>
          <c:tx>
            <c:strRef>
              <c:f>Time!$C$3</c:f>
              <c:strCache>
                <c:ptCount val="1"/>
                <c:pt idx="0">
                  <c:v>National</c:v>
                </c:pt>
              </c:strCache>
            </c:strRef>
          </c:tx>
          <c:spPr>
            <a:ln w="635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Time!$A$4:$A$104</c:f>
              <c:numCache>
                <c:formatCode>mmm\-yy</c:formatCode>
                <c:ptCount val="10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45213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  <c:pt idx="46">
                  <c:v>45566</c:v>
                </c:pt>
                <c:pt idx="47">
                  <c:v>45597</c:v>
                </c:pt>
                <c:pt idx="48">
                  <c:v>45627</c:v>
                </c:pt>
                <c:pt idx="49">
                  <c:v>45658</c:v>
                </c:pt>
                <c:pt idx="50">
                  <c:v>45689</c:v>
                </c:pt>
                <c:pt idx="51">
                  <c:v>45717</c:v>
                </c:pt>
                <c:pt idx="52">
                  <c:v>45748</c:v>
                </c:pt>
                <c:pt idx="53">
                  <c:v>45778</c:v>
                </c:pt>
                <c:pt idx="54">
                  <c:v>45809</c:v>
                </c:pt>
                <c:pt idx="55">
                  <c:v>45839</c:v>
                </c:pt>
                <c:pt idx="56">
                  <c:v>45870</c:v>
                </c:pt>
                <c:pt idx="57">
                  <c:v>45901</c:v>
                </c:pt>
                <c:pt idx="58">
                  <c:v>45931</c:v>
                </c:pt>
                <c:pt idx="59">
                  <c:v>45962</c:v>
                </c:pt>
                <c:pt idx="60">
                  <c:v>45992</c:v>
                </c:pt>
                <c:pt idx="61">
                  <c:v>46023</c:v>
                </c:pt>
              </c:numCache>
            </c:numRef>
          </c:cat>
          <c:val>
            <c:numRef>
              <c:f>Time!$C$4:$C$104</c:f>
              <c:numCache>
                <c:formatCode>0%</c:formatCode>
                <c:ptCount val="101"/>
                <c:pt idx="0">
                  <c:v>0.25</c:v>
                </c:pt>
                <c:pt idx="1">
                  <c:v>0.28999999999999998</c:v>
                </c:pt>
                <c:pt idx="2">
                  <c:v>0.25</c:v>
                </c:pt>
                <c:pt idx="3">
                  <c:v>0.28999999999999998</c:v>
                </c:pt>
                <c:pt idx="4">
                  <c:v>0.28000000000000003</c:v>
                </c:pt>
                <c:pt idx="5">
                  <c:v>0.28999999999999998</c:v>
                </c:pt>
                <c:pt idx="6">
                  <c:v>0.28999999999999998</c:v>
                </c:pt>
                <c:pt idx="7">
                  <c:v>0.25</c:v>
                </c:pt>
                <c:pt idx="8">
                  <c:v>0.214</c:v>
                </c:pt>
                <c:pt idx="9">
                  <c:v>0.22500000000000001</c:v>
                </c:pt>
                <c:pt idx="10">
                  <c:v>0.26200000000000001</c:v>
                </c:pt>
                <c:pt idx="11">
                  <c:v>0.32500000000000001</c:v>
                </c:pt>
                <c:pt idx="12">
                  <c:v>0.33</c:v>
                </c:pt>
                <c:pt idx="13">
                  <c:v>0.38400000000000001</c:v>
                </c:pt>
                <c:pt idx="14">
                  <c:v>0.35299999999999998</c:v>
                </c:pt>
                <c:pt idx="15">
                  <c:v>0.37799999999999995</c:v>
                </c:pt>
                <c:pt idx="16">
                  <c:v>0.36799999999999999</c:v>
                </c:pt>
                <c:pt idx="17">
                  <c:v>0.374</c:v>
                </c:pt>
                <c:pt idx="18">
                  <c:v>0.37</c:v>
                </c:pt>
                <c:pt idx="19">
                  <c:v>0.34</c:v>
                </c:pt>
                <c:pt idx="20">
                  <c:v>0.37</c:v>
                </c:pt>
                <c:pt idx="21">
                  <c:v>0.39200000000000002</c:v>
                </c:pt>
                <c:pt idx="22">
                  <c:v>0.376</c:v>
                </c:pt>
                <c:pt idx="23">
                  <c:v>0.39399999999999996</c:v>
                </c:pt>
                <c:pt idx="24">
                  <c:v>0.37200000000000005</c:v>
                </c:pt>
                <c:pt idx="25">
                  <c:v>0.34399999999999997</c:v>
                </c:pt>
                <c:pt idx="26">
                  <c:v>0.34799999999999998</c:v>
                </c:pt>
                <c:pt idx="27">
                  <c:v>0.36499999999999999</c:v>
                </c:pt>
                <c:pt idx="28">
                  <c:v>0.35600000000000004</c:v>
                </c:pt>
                <c:pt idx="29">
                  <c:v>0.35700000000000004</c:v>
                </c:pt>
                <c:pt idx="30">
                  <c:v>0.33299999999999996</c:v>
                </c:pt>
                <c:pt idx="31">
                  <c:v>0.34899999999999998</c:v>
                </c:pt>
                <c:pt idx="32" formatCode="0.0%">
                  <c:v>0.35</c:v>
                </c:pt>
                <c:pt idx="33" formatCode="0.0%">
                  <c:v>0.35899999999999999</c:v>
                </c:pt>
                <c:pt idx="34" formatCode="0.0%">
                  <c:v>0.38100000000000001</c:v>
                </c:pt>
                <c:pt idx="35" formatCode="0.0%">
                  <c:v>0.37</c:v>
                </c:pt>
                <c:pt idx="36" formatCode="0.0%">
                  <c:v>0.36499999999999999</c:v>
                </c:pt>
                <c:pt idx="37" formatCode="0.0%">
                  <c:v>0.41</c:v>
                </c:pt>
                <c:pt idx="38" formatCode="0.0%">
                  <c:v>0.39600000000000002</c:v>
                </c:pt>
                <c:pt idx="39" formatCode="0.0%">
                  <c:v>0.374</c:v>
                </c:pt>
                <c:pt idx="40" formatCode="0.0%">
                  <c:v>0.371</c:v>
                </c:pt>
                <c:pt idx="41" formatCode="0.0%">
                  <c:v>0.373</c:v>
                </c:pt>
                <c:pt idx="42" formatCode="0.0%">
                  <c:v>0.35399999999999998</c:v>
                </c:pt>
                <c:pt idx="43" formatCode="0.0%">
                  <c:v>0.376</c:v>
                </c:pt>
                <c:pt idx="44" formatCode="0.0%">
                  <c:v>0.38500000000000001</c:v>
                </c:pt>
                <c:pt idx="45" formatCode="0.0%">
                  <c:v>0.39</c:v>
                </c:pt>
                <c:pt idx="46" formatCode="0.0%">
                  <c:v>0.34899999999999998</c:v>
                </c:pt>
                <c:pt idx="47" formatCode="0.0%">
                  <c:v>0.38800000000000001</c:v>
                </c:pt>
                <c:pt idx="48" formatCode="0.0%">
                  <c:v>0.34200000000000003</c:v>
                </c:pt>
                <c:pt idx="49" formatCode="0.0%">
                  <c:v>0.29599999999999999</c:v>
                </c:pt>
                <c:pt idx="50" formatCode="0.0%">
                  <c:v>0.31900000000000001</c:v>
                </c:pt>
                <c:pt idx="51" formatCode="0.0%">
                  <c:v>0.33600000000000002</c:v>
                </c:pt>
                <c:pt idx="52" formatCode="0.0%">
                  <c:v>0.33500000000000002</c:v>
                </c:pt>
                <c:pt idx="53" formatCode="0.0%">
                  <c:v>0.34599999999999997</c:v>
                </c:pt>
                <c:pt idx="54" formatCode="0.0%">
                  <c:v>0.33500000000000002</c:v>
                </c:pt>
                <c:pt idx="55" formatCode="0.0%">
                  <c:v>0.33900000000000002</c:v>
                </c:pt>
                <c:pt idx="56" formatCode="0.0%">
                  <c:v>0.318</c:v>
                </c:pt>
                <c:pt idx="57" formatCode="0.0%">
                  <c:v>0.33100000000000002</c:v>
                </c:pt>
                <c:pt idx="58" formatCode="0.0%">
                  <c:v>0.29599999999999999</c:v>
                </c:pt>
                <c:pt idx="59" formatCode="0.0%">
                  <c:v>0.30199999999999999</c:v>
                </c:pt>
                <c:pt idx="60" formatCode="0.0%">
                  <c:v>0.3</c:v>
                </c:pt>
                <c:pt idx="61" formatCode="0.0%">
                  <c:v>0.315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4-46F5-B27A-33A7B5DC50F4}"/>
            </c:ext>
          </c:extLst>
        </c:ser>
        <c:ser>
          <c:idx val="2"/>
          <c:order val="2"/>
          <c:tx>
            <c:strRef>
              <c:f>Time!$D$3</c:f>
              <c:strCache>
                <c:ptCount val="1"/>
                <c:pt idx="0">
                  <c:v>ACT</c:v>
                </c:pt>
              </c:strCache>
            </c:strRef>
          </c:tx>
          <c:spPr>
            <a:ln w="635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Time!$A$4:$A$104</c:f>
              <c:numCache>
                <c:formatCode>mmm\-yy</c:formatCode>
                <c:ptCount val="10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45213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  <c:pt idx="46">
                  <c:v>45566</c:v>
                </c:pt>
                <c:pt idx="47">
                  <c:v>45597</c:v>
                </c:pt>
                <c:pt idx="48">
                  <c:v>45627</c:v>
                </c:pt>
                <c:pt idx="49">
                  <c:v>45658</c:v>
                </c:pt>
                <c:pt idx="50">
                  <c:v>45689</c:v>
                </c:pt>
                <c:pt idx="51">
                  <c:v>45717</c:v>
                </c:pt>
                <c:pt idx="52">
                  <c:v>45748</c:v>
                </c:pt>
                <c:pt idx="53">
                  <c:v>45778</c:v>
                </c:pt>
                <c:pt idx="54">
                  <c:v>45809</c:v>
                </c:pt>
                <c:pt idx="55">
                  <c:v>45839</c:v>
                </c:pt>
                <c:pt idx="56">
                  <c:v>45870</c:v>
                </c:pt>
                <c:pt idx="57">
                  <c:v>45901</c:v>
                </c:pt>
                <c:pt idx="58">
                  <c:v>45931</c:v>
                </c:pt>
                <c:pt idx="59">
                  <c:v>45962</c:v>
                </c:pt>
                <c:pt idx="60">
                  <c:v>45992</c:v>
                </c:pt>
                <c:pt idx="61">
                  <c:v>46023</c:v>
                </c:pt>
              </c:numCache>
            </c:numRef>
          </c:cat>
          <c:val>
            <c:numRef>
              <c:f>Time!$D$4:$D$104</c:f>
              <c:numCache>
                <c:formatCode>0%</c:formatCode>
                <c:ptCount val="101"/>
                <c:pt idx="0">
                  <c:v>0.09</c:v>
                </c:pt>
                <c:pt idx="1">
                  <c:v>0.08</c:v>
                </c:pt>
                <c:pt idx="2">
                  <c:v>0.1</c:v>
                </c:pt>
                <c:pt idx="3">
                  <c:v>0.09</c:v>
                </c:pt>
                <c:pt idx="4">
                  <c:v>0.08</c:v>
                </c:pt>
                <c:pt idx="5">
                  <c:v>0.12</c:v>
                </c:pt>
                <c:pt idx="6">
                  <c:v>0.12</c:v>
                </c:pt>
                <c:pt idx="7">
                  <c:v>0.13</c:v>
                </c:pt>
                <c:pt idx="8">
                  <c:v>0.14899999999999999</c:v>
                </c:pt>
                <c:pt idx="9">
                  <c:v>0.16600000000000001</c:v>
                </c:pt>
                <c:pt idx="10">
                  <c:v>0.159</c:v>
                </c:pt>
                <c:pt idx="11">
                  <c:v>0.106</c:v>
                </c:pt>
                <c:pt idx="12">
                  <c:v>0.115</c:v>
                </c:pt>
                <c:pt idx="13">
                  <c:v>6.6000000000000003E-2</c:v>
                </c:pt>
                <c:pt idx="14">
                  <c:v>0.11199999999999999</c:v>
                </c:pt>
                <c:pt idx="15">
                  <c:v>8.4000000000000005E-2</c:v>
                </c:pt>
                <c:pt idx="16">
                  <c:v>0.109</c:v>
                </c:pt>
                <c:pt idx="17">
                  <c:v>9.4E-2</c:v>
                </c:pt>
                <c:pt idx="18">
                  <c:v>0.1</c:v>
                </c:pt>
                <c:pt idx="19">
                  <c:v>0.105</c:v>
                </c:pt>
                <c:pt idx="20">
                  <c:v>0.124</c:v>
                </c:pt>
                <c:pt idx="21">
                  <c:v>9.4E-2</c:v>
                </c:pt>
                <c:pt idx="22">
                  <c:v>9.9000000000000005E-2</c:v>
                </c:pt>
                <c:pt idx="23">
                  <c:v>0.10400000000000001</c:v>
                </c:pt>
                <c:pt idx="24">
                  <c:v>0.10800000000000001</c:v>
                </c:pt>
                <c:pt idx="25">
                  <c:v>0.11699999999999999</c:v>
                </c:pt>
                <c:pt idx="26">
                  <c:v>9.3000000000000013E-2</c:v>
                </c:pt>
                <c:pt idx="27">
                  <c:v>9.5000000000000001E-2</c:v>
                </c:pt>
                <c:pt idx="28">
                  <c:v>0.127</c:v>
                </c:pt>
                <c:pt idx="29">
                  <c:v>0.127</c:v>
                </c:pt>
                <c:pt idx="30">
                  <c:v>0.13200000000000001</c:v>
                </c:pt>
                <c:pt idx="31">
                  <c:v>0.13</c:v>
                </c:pt>
                <c:pt idx="32" formatCode="0.0%">
                  <c:v>0.14300000000000002</c:v>
                </c:pt>
                <c:pt idx="33" formatCode="0.0%">
                  <c:v>9.0999999999999998E-2</c:v>
                </c:pt>
                <c:pt idx="34" formatCode="0.0%">
                  <c:v>8.5999999999999993E-2</c:v>
                </c:pt>
                <c:pt idx="35" formatCode="0.0%">
                  <c:v>8.1000000000000003E-2</c:v>
                </c:pt>
                <c:pt idx="36" formatCode="0.0%">
                  <c:v>6.2E-2</c:v>
                </c:pt>
                <c:pt idx="37" formatCode="0.0%">
                  <c:v>7.8E-2</c:v>
                </c:pt>
                <c:pt idx="38" formatCode="0.0%">
                  <c:v>0.13700000000000001</c:v>
                </c:pt>
                <c:pt idx="39" formatCode="0.0%">
                  <c:v>0.1</c:v>
                </c:pt>
                <c:pt idx="40" formatCode="0.0%">
                  <c:v>7.1999999999999995E-2</c:v>
                </c:pt>
                <c:pt idx="41" formatCode="0.0%">
                  <c:v>9.4E-2</c:v>
                </c:pt>
                <c:pt idx="42" formatCode="0.0%">
                  <c:v>9.7000000000000003E-2</c:v>
                </c:pt>
                <c:pt idx="43" formatCode="0.0%">
                  <c:v>9.0999999999999998E-2</c:v>
                </c:pt>
                <c:pt idx="44" formatCode="0.0%">
                  <c:v>7.2999999999999995E-2</c:v>
                </c:pt>
                <c:pt idx="45" formatCode="0.0%">
                  <c:v>8.7999999999999995E-2</c:v>
                </c:pt>
                <c:pt idx="46" formatCode="0.0%">
                  <c:v>9.7000000000000003E-2</c:v>
                </c:pt>
                <c:pt idx="47" formatCode="0.0%">
                  <c:v>8.5000000000000006E-2</c:v>
                </c:pt>
                <c:pt idx="48" formatCode="0.0%">
                  <c:v>0.13</c:v>
                </c:pt>
                <c:pt idx="49" formatCode="0.0%">
                  <c:v>0.108</c:v>
                </c:pt>
                <c:pt idx="50" formatCode="0.0%">
                  <c:v>0.1</c:v>
                </c:pt>
                <c:pt idx="51" formatCode="0.0%">
                  <c:v>7.6999999999999999E-2</c:v>
                </c:pt>
                <c:pt idx="52" formatCode="0.0%">
                  <c:v>0.1</c:v>
                </c:pt>
                <c:pt idx="53" formatCode="0.0%">
                  <c:v>9.5000000000000001E-2</c:v>
                </c:pt>
                <c:pt idx="54" formatCode="0.0%">
                  <c:v>9.0999999999999998E-2</c:v>
                </c:pt>
                <c:pt idx="55" formatCode="0.0%">
                  <c:v>9.0999999999999998E-2</c:v>
                </c:pt>
                <c:pt idx="56" formatCode="0.0%">
                  <c:v>8.5999999999999993E-2</c:v>
                </c:pt>
                <c:pt idx="57" formatCode="0.0%">
                  <c:v>6.7000000000000004E-2</c:v>
                </c:pt>
                <c:pt idx="58" formatCode="0.0%">
                  <c:v>6.6000000000000003E-2</c:v>
                </c:pt>
                <c:pt idx="59" formatCode="0.0%">
                  <c:v>8.5999999999999993E-2</c:v>
                </c:pt>
                <c:pt idx="60" formatCode="0.0%">
                  <c:v>8.900000000000001E-2</c:v>
                </c:pt>
                <c:pt idx="61" formatCode="0.0%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54-46F5-B27A-33A7B5DC50F4}"/>
            </c:ext>
          </c:extLst>
        </c:ser>
        <c:ser>
          <c:idx val="3"/>
          <c:order val="3"/>
          <c:tx>
            <c:strRef>
              <c:f>Time!$E$3</c:f>
              <c:strCache>
                <c:ptCount val="1"/>
                <c:pt idx="0">
                  <c:v>Greens</c:v>
                </c:pt>
              </c:strCache>
            </c:strRef>
          </c:tx>
          <c:spPr>
            <a:ln w="635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Time!$A$4:$A$104</c:f>
              <c:numCache>
                <c:formatCode>mmm\-yy</c:formatCode>
                <c:ptCount val="10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45213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  <c:pt idx="46">
                  <c:v>45566</c:v>
                </c:pt>
                <c:pt idx="47">
                  <c:v>45597</c:v>
                </c:pt>
                <c:pt idx="48">
                  <c:v>45627</c:v>
                </c:pt>
                <c:pt idx="49">
                  <c:v>45658</c:v>
                </c:pt>
                <c:pt idx="50">
                  <c:v>45689</c:v>
                </c:pt>
                <c:pt idx="51">
                  <c:v>45717</c:v>
                </c:pt>
                <c:pt idx="52">
                  <c:v>45748</c:v>
                </c:pt>
                <c:pt idx="53">
                  <c:v>45778</c:v>
                </c:pt>
                <c:pt idx="54">
                  <c:v>45809</c:v>
                </c:pt>
                <c:pt idx="55">
                  <c:v>45839</c:v>
                </c:pt>
                <c:pt idx="56">
                  <c:v>45870</c:v>
                </c:pt>
                <c:pt idx="57">
                  <c:v>45901</c:v>
                </c:pt>
                <c:pt idx="58">
                  <c:v>45931</c:v>
                </c:pt>
                <c:pt idx="59">
                  <c:v>45962</c:v>
                </c:pt>
                <c:pt idx="60">
                  <c:v>45992</c:v>
                </c:pt>
                <c:pt idx="61">
                  <c:v>46023</c:v>
                </c:pt>
              </c:numCache>
            </c:numRef>
          </c:cat>
          <c:val>
            <c:numRef>
              <c:f>Time!$E$4:$E$104</c:f>
              <c:numCache>
                <c:formatCode>0%</c:formatCode>
                <c:ptCount val="101"/>
                <c:pt idx="0">
                  <c:v>0.11</c:v>
                </c:pt>
                <c:pt idx="1">
                  <c:v>0.13</c:v>
                </c:pt>
                <c:pt idx="2">
                  <c:v>0.1</c:v>
                </c:pt>
                <c:pt idx="3">
                  <c:v>0.13</c:v>
                </c:pt>
                <c:pt idx="4">
                  <c:v>0.09</c:v>
                </c:pt>
                <c:pt idx="5">
                  <c:v>0.12</c:v>
                </c:pt>
                <c:pt idx="6">
                  <c:v>0.09</c:v>
                </c:pt>
                <c:pt idx="7">
                  <c:v>0.12</c:v>
                </c:pt>
                <c:pt idx="8">
                  <c:v>9.6000000000000002E-2</c:v>
                </c:pt>
                <c:pt idx="9">
                  <c:v>6.4000000000000001E-2</c:v>
                </c:pt>
                <c:pt idx="10">
                  <c:v>8.5999999999999993E-2</c:v>
                </c:pt>
                <c:pt idx="11">
                  <c:v>0.109</c:v>
                </c:pt>
                <c:pt idx="12">
                  <c:v>0.107</c:v>
                </c:pt>
                <c:pt idx="13">
                  <c:v>6.4000000000000001E-2</c:v>
                </c:pt>
                <c:pt idx="14">
                  <c:v>0.124</c:v>
                </c:pt>
                <c:pt idx="15">
                  <c:v>9.4E-2</c:v>
                </c:pt>
                <c:pt idx="16">
                  <c:v>9.6999999999999989E-2</c:v>
                </c:pt>
                <c:pt idx="17">
                  <c:v>8.3000000000000004E-2</c:v>
                </c:pt>
                <c:pt idx="18">
                  <c:v>8.5000000000000006E-2</c:v>
                </c:pt>
                <c:pt idx="19">
                  <c:v>9.5000000000000001E-2</c:v>
                </c:pt>
                <c:pt idx="20">
                  <c:v>9.9000000000000005E-2</c:v>
                </c:pt>
                <c:pt idx="21">
                  <c:v>7.2000000000000008E-2</c:v>
                </c:pt>
                <c:pt idx="22">
                  <c:v>7.8E-2</c:v>
                </c:pt>
                <c:pt idx="23">
                  <c:v>8.1000000000000003E-2</c:v>
                </c:pt>
                <c:pt idx="24">
                  <c:v>0.106</c:v>
                </c:pt>
                <c:pt idx="25">
                  <c:v>7.8E-2</c:v>
                </c:pt>
                <c:pt idx="26">
                  <c:v>5.7000000000000002E-2</c:v>
                </c:pt>
                <c:pt idx="27">
                  <c:v>6.7000000000000004E-2</c:v>
                </c:pt>
                <c:pt idx="28">
                  <c:v>7.0000000000000007E-2</c:v>
                </c:pt>
                <c:pt idx="29">
                  <c:v>9.6999999999999989E-2</c:v>
                </c:pt>
                <c:pt idx="30">
                  <c:v>8.900000000000001E-2</c:v>
                </c:pt>
                <c:pt idx="31">
                  <c:v>0.12</c:v>
                </c:pt>
                <c:pt idx="32" formatCode="0.0%">
                  <c:v>0.127</c:v>
                </c:pt>
                <c:pt idx="33" formatCode="0.0%">
                  <c:v>0.106</c:v>
                </c:pt>
                <c:pt idx="34" formatCode="0.0%">
                  <c:v>0.11600000000000001</c:v>
                </c:pt>
                <c:pt idx="35" formatCode="0.0%">
                  <c:v>0.13800000000000001</c:v>
                </c:pt>
                <c:pt idx="36" formatCode="0.0%">
                  <c:v>0.108</c:v>
                </c:pt>
                <c:pt idx="37" formatCode="0.0%">
                  <c:v>9.5000000000000001E-2</c:v>
                </c:pt>
                <c:pt idx="38" formatCode="0.0%">
                  <c:v>0.09</c:v>
                </c:pt>
                <c:pt idx="39" formatCode="0.0%">
                  <c:v>0.113</c:v>
                </c:pt>
                <c:pt idx="40" formatCode="0.0%">
                  <c:v>0.14599999999999999</c:v>
                </c:pt>
                <c:pt idx="41" formatCode="0.0%">
                  <c:v>0.10199999999999999</c:v>
                </c:pt>
                <c:pt idx="42" formatCode="0.0%">
                  <c:v>0.127</c:v>
                </c:pt>
                <c:pt idx="43" formatCode="0.0%">
                  <c:v>0.125</c:v>
                </c:pt>
                <c:pt idx="44" formatCode="0.0%">
                  <c:v>0.10199999999999999</c:v>
                </c:pt>
                <c:pt idx="45" formatCode="0.0%">
                  <c:v>0.11</c:v>
                </c:pt>
                <c:pt idx="46" formatCode="0.0%">
                  <c:v>0.104</c:v>
                </c:pt>
                <c:pt idx="47" formatCode="0.0%">
                  <c:v>9.2999999999999999E-2</c:v>
                </c:pt>
                <c:pt idx="48" formatCode="0.0%">
                  <c:v>8.3000000000000004E-2</c:v>
                </c:pt>
                <c:pt idx="49" formatCode="0.0%">
                  <c:v>9.5000000000000001E-2</c:v>
                </c:pt>
                <c:pt idx="50" formatCode="0.0%">
                  <c:v>0.13200000000000001</c:v>
                </c:pt>
                <c:pt idx="51" formatCode="0.0%">
                  <c:v>0.1</c:v>
                </c:pt>
                <c:pt idx="52" formatCode="0.0%">
                  <c:v>0.11</c:v>
                </c:pt>
                <c:pt idx="53" formatCode="0.0%">
                  <c:v>9.0999999999999998E-2</c:v>
                </c:pt>
                <c:pt idx="54" formatCode="0.0%">
                  <c:v>8.2000000000000003E-2</c:v>
                </c:pt>
                <c:pt idx="55" formatCode="0.0%">
                  <c:v>9.4E-2</c:v>
                </c:pt>
                <c:pt idx="56" formatCode="0.0%">
                  <c:v>9.8000000000000004E-2</c:v>
                </c:pt>
                <c:pt idx="57" formatCode="0.0%">
                  <c:v>0.107</c:v>
                </c:pt>
                <c:pt idx="58" formatCode="0.0%">
                  <c:v>0.12</c:v>
                </c:pt>
                <c:pt idx="59" formatCode="0.0%">
                  <c:v>9.1999999999999998E-2</c:v>
                </c:pt>
                <c:pt idx="60" formatCode="0.0%">
                  <c:v>0.108</c:v>
                </c:pt>
                <c:pt idx="61" formatCode="0.0%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54-46F5-B27A-33A7B5DC50F4}"/>
            </c:ext>
          </c:extLst>
        </c:ser>
        <c:ser>
          <c:idx val="4"/>
          <c:order val="4"/>
          <c:tx>
            <c:strRef>
              <c:f>Time!$F$3</c:f>
              <c:strCache>
                <c:ptCount val="1"/>
                <c:pt idx="0">
                  <c:v>TPM</c:v>
                </c:pt>
              </c:strCache>
            </c:strRef>
          </c:tx>
          <c:spPr>
            <a:ln w="635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Time!$A$4:$A$104</c:f>
              <c:numCache>
                <c:formatCode>mmm\-yy</c:formatCode>
                <c:ptCount val="10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45213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  <c:pt idx="46">
                  <c:v>45566</c:v>
                </c:pt>
                <c:pt idx="47">
                  <c:v>45597</c:v>
                </c:pt>
                <c:pt idx="48">
                  <c:v>45627</c:v>
                </c:pt>
                <c:pt idx="49">
                  <c:v>45658</c:v>
                </c:pt>
                <c:pt idx="50">
                  <c:v>45689</c:v>
                </c:pt>
                <c:pt idx="51">
                  <c:v>45717</c:v>
                </c:pt>
                <c:pt idx="52">
                  <c:v>45748</c:v>
                </c:pt>
                <c:pt idx="53">
                  <c:v>45778</c:v>
                </c:pt>
                <c:pt idx="54">
                  <c:v>45809</c:v>
                </c:pt>
                <c:pt idx="55">
                  <c:v>45839</c:v>
                </c:pt>
                <c:pt idx="56">
                  <c:v>45870</c:v>
                </c:pt>
                <c:pt idx="57">
                  <c:v>45901</c:v>
                </c:pt>
                <c:pt idx="58">
                  <c:v>45931</c:v>
                </c:pt>
                <c:pt idx="59">
                  <c:v>45962</c:v>
                </c:pt>
                <c:pt idx="60">
                  <c:v>45992</c:v>
                </c:pt>
                <c:pt idx="61">
                  <c:v>46023</c:v>
                </c:pt>
              </c:numCache>
            </c:numRef>
          </c:cat>
          <c:val>
            <c:numRef>
              <c:f>Time!$F$4:$F$104</c:f>
              <c:numCache>
                <c:formatCode>0%</c:formatCode>
                <c:ptCount val="101"/>
                <c:pt idx="0">
                  <c:v>0.02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1.2E-2</c:v>
                </c:pt>
                <c:pt idx="9">
                  <c:v>1.4999999999999999E-2</c:v>
                </c:pt>
                <c:pt idx="10">
                  <c:v>2.2000000000000002E-2</c:v>
                </c:pt>
                <c:pt idx="11">
                  <c:v>3.1E-2</c:v>
                </c:pt>
                <c:pt idx="12">
                  <c:v>5.0000000000000001E-3</c:v>
                </c:pt>
                <c:pt idx="13">
                  <c:v>0.01</c:v>
                </c:pt>
                <c:pt idx="14">
                  <c:v>1E-3</c:v>
                </c:pt>
                <c:pt idx="15">
                  <c:v>3.6000000000000004E-2</c:v>
                </c:pt>
                <c:pt idx="16">
                  <c:v>2.4E-2</c:v>
                </c:pt>
                <c:pt idx="17">
                  <c:v>1.8000000000000002E-2</c:v>
                </c:pt>
                <c:pt idx="18">
                  <c:v>3.7000000000000005E-2</c:v>
                </c:pt>
                <c:pt idx="19">
                  <c:v>3.5000000000000003E-2</c:v>
                </c:pt>
                <c:pt idx="20">
                  <c:v>1.4999999999999999E-2</c:v>
                </c:pt>
                <c:pt idx="21">
                  <c:v>2.1000000000000001E-2</c:v>
                </c:pt>
                <c:pt idx="22">
                  <c:v>1.6E-2</c:v>
                </c:pt>
                <c:pt idx="23">
                  <c:v>3.5000000000000003E-2</c:v>
                </c:pt>
                <c:pt idx="24">
                  <c:v>1.3999999999999999E-2</c:v>
                </c:pt>
                <c:pt idx="25">
                  <c:v>2.1000000000000001E-2</c:v>
                </c:pt>
                <c:pt idx="26">
                  <c:v>1.3999999999999999E-2</c:v>
                </c:pt>
                <c:pt idx="27">
                  <c:v>2.8999999999999998E-2</c:v>
                </c:pt>
                <c:pt idx="28">
                  <c:v>3.7000000000000005E-2</c:v>
                </c:pt>
                <c:pt idx="29">
                  <c:v>3.5000000000000003E-2</c:v>
                </c:pt>
                <c:pt idx="30">
                  <c:v>0.05</c:v>
                </c:pt>
                <c:pt idx="31">
                  <c:v>2.5000000000000001E-2</c:v>
                </c:pt>
                <c:pt idx="32" formatCode="0.0%">
                  <c:v>2.8999999999999998E-2</c:v>
                </c:pt>
                <c:pt idx="33" formatCode="0.0%">
                  <c:v>3.7000000000000005E-2</c:v>
                </c:pt>
                <c:pt idx="34" formatCode="0.0%">
                  <c:v>3.1E-2</c:v>
                </c:pt>
                <c:pt idx="35" formatCode="0.0%">
                  <c:v>3.4000000000000002E-2</c:v>
                </c:pt>
                <c:pt idx="36" formatCode="0.0%">
                  <c:v>0.05</c:v>
                </c:pt>
                <c:pt idx="37" formatCode="0.0%">
                  <c:v>3.5999999999999997E-2</c:v>
                </c:pt>
                <c:pt idx="38" formatCode="0.0%">
                  <c:v>2.3E-2</c:v>
                </c:pt>
                <c:pt idx="39" formatCode="0.0%">
                  <c:v>2.5000000000000001E-2</c:v>
                </c:pt>
                <c:pt idx="40" formatCode="0.0%">
                  <c:v>4.5999999999999999E-2</c:v>
                </c:pt>
                <c:pt idx="41" formatCode="0.0%">
                  <c:v>3.1E-2</c:v>
                </c:pt>
                <c:pt idx="42" formatCode="0.0%">
                  <c:v>0.04</c:v>
                </c:pt>
                <c:pt idx="43" formatCode="0.0%">
                  <c:v>3.5000000000000003E-2</c:v>
                </c:pt>
                <c:pt idx="44" formatCode="0.0%">
                  <c:v>1.7999999999999999E-2</c:v>
                </c:pt>
                <c:pt idx="45" formatCode="0.0%">
                  <c:v>0.05</c:v>
                </c:pt>
                <c:pt idx="46" formatCode="0.0%">
                  <c:v>0.03</c:v>
                </c:pt>
                <c:pt idx="47" formatCode="0.0%">
                  <c:v>2.5000000000000001E-2</c:v>
                </c:pt>
                <c:pt idx="48" formatCode="0.0%">
                  <c:v>5.5E-2</c:v>
                </c:pt>
                <c:pt idx="49" formatCode="0.0%">
                  <c:v>5.2999999999999999E-2</c:v>
                </c:pt>
                <c:pt idx="50" formatCode="0.0%">
                  <c:v>4.3999999999999997E-2</c:v>
                </c:pt>
                <c:pt idx="51" formatCode="0.0%">
                  <c:v>6.5000000000000002E-2</c:v>
                </c:pt>
                <c:pt idx="52" formatCode="0.0%">
                  <c:v>4.2999999999999997E-2</c:v>
                </c:pt>
                <c:pt idx="53" formatCode="0.0%">
                  <c:v>3.9E-2</c:v>
                </c:pt>
                <c:pt idx="54" formatCode="0.0%">
                  <c:v>3.3000000000000002E-2</c:v>
                </c:pt>
                <c:pt idx="55" formatCode="0.0%">
                  <c:v>3.5000000000000003E-2</c:v>
                </c:pt>
                <c:pt idx="56" formatCode="0.0%">
                  <c:v>3.2000000000000001E-2</c:v>
                </c:pt>
                <c:pt idx="57" formatCode="0.0%">
                  <c:v>4.2999999999999997E-2</c:v>
                </c:pt>
                <c:pt idx="58" formatCode="0.0%">
                  <c:v>4.3999999999999997E-2</c:v>
                </c:pt>
                <c:pt idx="59" formatCode="0.0%">
                  <c:v>3.3000000000000002E-2</c:v>
                </c:pt>
                <c:pt idx="60" formatCode="0.0%">
                  <c:v>3.1E-2</c:v>
                </c:pt>
                <c:pt idx="61" formatCode="0.0%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54-46F5-B27A-33A7B5DC50F4}"/>
            </c:ext>
          </c:extLst>
        </c:ser>
        <c:ser>
          <c:idx val="5"/>
          <c:order val="5"/>
          <c:tx>
            <c:strRef>
              <c:f>Time!$G$3</c:f>
              <c:strCache>
                <c:ptCount val="1"/>
                <c:pt idx="0">
                  <c:v>NZ First</c:v>
                </c:pt>
              </c:strCache>
            </c:strRef>
          </c:tx>
          <c:spPr>
            <a:ln w="635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A354-46F5-B27A-33A7B5DC50F4}"/>
              </c:ext>
            </c:extLst>
          </c:dPt>
          <c:dLbls>
            <c:delete val="1"/>
          </c:dLbls>
          <c:cat>
            <c:numRef>
              <c:f>Time!$A$4:$A$104</c:f>
              <c:numCache>
                <c:formatCode>mmm\-yy</c:formatCode>
                <c:ptCount val="10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45213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  <c:pt idx="46">
                  <c:v>45566</c:v>
                </c:pt>
                <c:pt idx="47">
                  <c:v>45597</c:v>
                </c:pt>
                <c:pt idx="48">
                  <c:v>45627</c:v>
                </c:pt>
                <c:pt idx="49">
                  <c:v>45658</c:v>
                </c:pt>
                <c:pt idx="50">
                  <c:v>45689</c:v>
                </c:pt>
                <c:pt idx="51">
                  <c:v>45717</c:v>
                </c:pt>
                <c:pt idx="52">
                  <c:v>45748</c:v>
                </c:pt>
                <c:pt idx="53">
                  <c:v>45778</c:v>
                </c:pt>
                <c:pt idx="54">
                  <c:v>45809</c:v>
                </c:pt>
                <c:pt idx="55">
                  <c:v>45839</c:v>
                </c:pt>
                <c:pt idx="56">
                  <c:v>45870</c:v>
                </c:pt>
                <c:pt idx="57">
                  <c:v>45901</c:v>
                </c:pt>
                <c:pt idx="58">
                  <c:v>45931</c:v>
                </c:pt>
                <c:pt idx="59">
                  <c:v>45962</c:v>
                </c:pt>
                <c:pt idx="60">
                  <c:v>45992</c:v>
                </c:pt>
                <c:pt idx="61">
                  <c:v>46023</c:v>
                </c:pt>
              </c:numCache>
            </c:numRef>
          </c:cat>
          <c:val>
            <c:numRef>
              <c:f>Time!$G$4:$G$104</c:f>
              <c:numCache>
                <c:formatCode>0%</c:formatCode>
                <c:ptCount val="10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0.03</c:v>
                </c:pt>
                <c:pt idx="8">
                  <c:v>2.7E-2</c:v>
                </c:pt>
                <c:pt idx="9">
                  <c:v>3.6000000000000004E-2</c:v>
                </c:pt>
                <c:pt idx="10">
                  <c:v>1.6E-2</c:v>
                </c:pt>
                <c:pt idx="11">
                  <c:v>2.4E-2</c:v>
                </c:pt>
                <c:pt idx="12">
                  <c:v>8.0000000000000002E-3</c:v>
                </c:pt>
                <c:pt idx="13">
                  <c:v>1.4999999999999999E-2</c:v>
                </c:pt>
                <c:pt idx="14">
                  <c:v>1.8000000000000002E-2</c:v>
                </c:pt>
                <c:pt idx="15">
                  <c:v>1.7000000000000001E-2</c:v>
                </c:pt>
                <c:pt idx="16">
                  <c:v>1.8000000000000002E-2</c:v>
                </c:pt>
                <c:pt idx="17">
                  <c:v>2.3E-2</c:v>
                </c:pt>
                <c:pt idx="18">
                  <c:v>2.7999999999999997E-2</c:v>
                </c:pt>
                <c:pt idx="19">
                  <c:v>2.6000000000000002E-2</c:v>
                </c:pt>
                <c:pt idx="20">
                  <c:v>1.6E-2</c:v>
                </c:pt>
                <c:pt idx="21">
                  <c:v>2.1000000000000001E-2</c:v>
                </c:pt>
                <c:pt idx="22">
                  <c:v>3.7999999999999999E-2</c:v>
                </c:pt>
                <c:pt idx="23">
                  <c:v>2.8999999999999998E-2</c:v>
                </c:pt>
                <c:pt idx="24">
                  <c:v>2.1000000000000001E-2</c:v>
                </c:pt>
                <c:pt idx="25">
                  <c:v>2.8999999999999998E-2</c:v>
                </c:pt>
                <c:pt idx="26">
                  <c:v>4.2000000000000003E-2</c:v>
                </c:pt>
                <c:pt idx="27">
                  <c:v>2.6000000000000002E-2</c:v>
                </c:pt>
                <c:pt idx="28">
                  <c:v>2.6000000000000002E-2</c:v>
                </c:pt>
                <c:pt idx="29">
                  <c:v>1.6E-2</c:v>
                </c:pt>
                <c:pt idx="30">
                  <c:v>3.3000000000000002E-2</c:v>
                </c:pt>
                <c:pt idx="31">
                  <c:v>5.8000000000000003E-2</c:v>
                </c:pt>
                <c:pt idx="32" formatCode="0.0%">
                  <c:v>3.9E-2</c:v>
                </c:pt>
                <c:pt idx="33" formatCode="0.0%">
                  <c:v>6.9000000000000006E-2</c:v>
                </c:pt>
                <c:pt idx="34" formatCode="0.0%">
                  <c:v>6.0999999999999999E-2</c:v>
                </c:pt>
                <c:pt idx="35" formatCode="0.0%">
                  <c:v>0.06</c:v>
                </c:pt>
                <c:pt idx="36" formatCode="0.0%">
                  <c:v>8.1000000000000003E-2</c:v>
                </c:pt>
                <c:pt idx="37" formatCode="0.0%">
                  <c:v>5.6000000000000001E-2</c:v>
                </c:pt>
                <c:pt idx="38" formatCode="0.0%">
                  <c:v>0.05</c:v>
                </c:pt>
                <c:pt idx="39" formatCode="0.0%">
                  <c:v>7.3999999999999996E-2</c:v>
                </c:pt>
                <c:pt idx="40" formatCode="0.0%">
                  <c:v>6.3E-2</c:v>
                </c:pt>
                <c:pt idx="41" formatCode="0.0%">
                  <c:v>5.5E-2</c:v>
                </c:pt>
                <c:pt idx="42" formatCode="0.0%">
                  <c:v>5.6000000000000001E-2</c:v>
                </c:pt>
                <c:pt idx="43" formatCode="0.0%">
                  <c:v>7.2999999999999995E-2</c:v>
                </c:pt>
                <c:pt idx="44" formatCode="0.0%">
                  <c:v>6.0999999999999999E-2</c:v>
                </c:pt>
                <c:pt idx="45" formatCode="0.0%">
                  <c:v>6.8000000000000005E-2</c:v>
                </c:pt>
                <c:pt idx="46" formatCode="0.0%">
                  <c:v>7.5999999999999998E-2</c:v>
                </c:pt>
                <c:pt idx="47" formatCode="0.0%">
                  <c:v>6.5000000000000002E-2</c:v>
                </c:pt>
                <c:pt idx="48" formatCode="0.0%">
                  <c:v>5.3999999999999999E-2</c:v>
                </c:pt>
                <c:pt idx="49" formatCode="0.0%">
                  <c:v>8.1000000000000003E-2</c:v>
                </c:pt>
                <c:pt idx="50" formatCode="0.0%">
                  <c:v>6.4000000000000001E-2</c:v>
                </c:pt>
                <c:pt idx="51" formatCode="0.0%">
                  <c:v>5.0999999999999997E-2</c:v>
                </c:pt>
                <c:pt idx="52" formatCode="0.0%">
                  <c:v>7.3999999999999996E-2</c:v>
                </c:pt>
                <c:pt idx="53" formatCode="0.0%">
                  <c:v>7.3999999999999996E-2</c:v>
                </c:pt>
                <c:pt idx="54" formatCode="0.0%">
                  <c:v>6.0999999999999999E-2</c:v>
                </c:pt>
                <c:pt idx="55" formatCode="0.0%">
                  <c:v>9.8000000000000004E-2</c:v>
                </c:pt>
                <c:pt idx="56" formatCode="0.0%">
                  <c:v>7.8E-2</c:v>
                </c:pt>
                <c:pt idx="57" formatCode="0.0%">
                  <c:v>8.1000000000000003E-2</c:v>
                </c:pt>
                <c:pt idx="58" formatCode="0.0%">
                  <c:v>0.106</c:v>
                </c:pt>
                <c:pt idx="59" formatCode="0.0%">
                  <c:v>9.0999999999999998E-2</c:v>
                </c:pt>
                <c:pt idx="60" formatCode="0.0%">
                  <c:v>8.1000000000000003E-2</c:v>
                </c:pt>
                <c:pt idx="61" formatCode="0.0%">
                  <c:v>0.11900000000000001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54-46F5-B27A-33A7B5DC50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6930064"/>
        <c:axId val="636928424"/>
      </c:lineChart>
      <c:dateAx>
        <c:axId val="636930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28424"/>
        <c:crosses val="autoZero"/>
        <c:auto val="1"/>
        <c:lblOffset val="100"/>
        <c:baseTimeUnit val="months"/>
      </c:dateAx>
      <c:valAx>
        <c:axId val="63692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30064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Party Vote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'This Month'!$E$4</c:f>
              <c:strCache>
                <c:ptCount val="1"/>
                <c:pt idx="0">
                  <c:v>Labour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Month'!$F$3:$H$3</c:f>
              <c:strCache>
                <c:ptCount val="3"/>
                <c:pt idx="0">
                  <c:v>Decided</c:v>
                </c:pt>
                <c:pt idx="1">
                  <c:v>Probed</c:v>
                </c:pt>
                <c:pt idx="2">
                  <c:v>Unprobed</c:v>
                </c:pt>
              </c:strCache>
            </c:strRef>
          </c:cat>
          <c:val>
            <c:numRef>
              <c:f>'This Month'!$F$4:$H$4</c:f>
              <c:numCache>
                <c:formatCode>0.0%</c:formatCode>
                <c:ptCount val="3"/>
                <c:pt idx="0">
                  <c:v>0.34371395617070355</c:v>
                </c:pt>
                <c:pt idx="1">
                  <c:v>0.31204188481675393</c:v>
                </c:pt>
                <c:pt idx="2">
                  <c:v>0.30334728033472802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7-431A-93CF-DE96EB8C6357}"/>
            </c:ext>
          </c:extLst>
        </c:ser>
        <c:ser>
          <c:idx val="1"/>
          <c:order val="1"/>
          <c:tx>
            <c:strRef>
              <c:f>'This Month'!$E$5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Month'!$F$3:$H$3</c:f>
              <c:strCache>
                <c:ptCount val="3"/>
                <c:pt idx="0">
                  <c:v>Decided</c:v>
                </c:pt>
                <c:pt idx="1">
                  <c:v>Probed</c:v>
                </c:pt>
                <c:pt idx="2">
                  <c:v>Unprobed</c:v>
                </c:pt>
              </c:strCache>
            </c:strRef>
          </c:cat>
          <c:val>
            <c:numRef>
              <c:f>'This Month'!$F$5:$H$5</c:f>
              <c:numCache>
                <c:formatCode>0.0%</c:formatCode>
                <c:ptCount val="3"/>
                <c:pt idx="0">
                  <c:v>7.7277970011534025E-2</c:v>
                </c:pt>
                <c:pt idx="1">
                  <c:v>7.0157068062827219E-2</c:v>
                </c:pt>
                <c:pt idx="2">
                  <c:v>6.5899581589958164E-2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7-431A-93CF-DE96EB8C6357}"/>
            </c:ext>
          </c:extLst>
        </c:ser>
        <c:ser>
          <c:idx val="2"/>
          <c:order val="2"/>
          <c:tx>
            <c:strRef>
              <c:f>'This Month'!$E$6</c:f>
              <c:strCache>
                <c:ptCount val="1"/>
                <c:pt idx="0">
                  <c:v>Maori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Month'!$F$3:$H$3</c:f>
              <c:strCache>
                <c:ptCount val="3"/>
                <c:pt idx="0">
                  <c:v>Decided</c:v>
                </c:pt>
                <c:pt idx="1">
                  <c:v>Probed</c:v>
                </c:pt>
                <c:pt idx="2">
                  <c:v>Unprobed</c:v>
                </c:pt>
              </c:strCache>
            </c:strRef>
          </c:cat>
          <c:val>
            <c:numRef>
              <c:f>'This Month'!$F$6:$H$6</c:f>
              <c:numCache>
                <c:formatCode>0.0%</c:formatCode>
                <c:ptCount val="3"/>
                <c:pt idx="0">
                  <c:v>2.9988465974625143E-2</c:v>
                </c:pt>
                <c:pt idx="1">
                  <c:v>2.7225130890052355E-2</c:v>
                </c:pt>
                <c:pt idx="2">
                  <c:v>2.7196652719665274E-2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E7-431A-93CF-DE96EB8C6357}"/>
            </c:ext>
          </c:extLst>
        </c:ser>
        <c:ser>
          <c:idx val="3"/>
          <c:order val="3"/>
          <c:tx>
            <c:strRef>
              <c:f>'This Month'!$E$7</c:f>
              <c:strCache>
                <c:ptCount val="1"/>
                <c:pt idx="0">
                  <c:v>Unsure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Month'!$F$3:$H$3</c:f>
              <c:strCache>
                <c:ptCount val="3"/>
                <c:pt idx="0">
                  <c:v>Decided</c:v>
                </c:pt>
                <c:pt idx="1">
                  <c:v>Probed</c:v>
                </c:pt>
                <c:pt idx="2">
                  <c:v>Unprobed</c:v>
                </c:pt>
              </c:strCache>
            </c:strRef>
          </c:cat>
          <c:val>
            <c:numRef>
              <c:f>'This Month'!$F$7:$H$7</c:f>
              <c:numCache>
                <c:formatCode>0.0%</c:formatCode>
                <c:ptCount val="3"/>
                <c:pt idx="1">
                  <c:v>9.2146596858638741E-2</c:v>
                </c:pt>
                <c:pt idx="2">
                  <c:v>0.14748953974895398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E7-431A-93CF-DE96EB8C6357}"/>
            </c:ext>
          </c:extLst>
        </c:ser>
        <c:ser>
          <c:idx val="4"/>
          <c:order val="4"/>
          <c:tx>
            <c:strRef>
              <c:f>'This Month'!$E$8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26CA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Month'!$F$3:$H$3</c:f>
              <c:strCache>
                <c:ptCount val="3"/>
                <c:pt idx="0">
                  <c:v>Decided</c:v>
                </c:pt>
                <c:pt idx="1">
                  <c:v>Probed</c:v>
                </c:pt>
                <c:pt idx="2">
                  <c:v>Unprobed</c:v>
                </c:pt>
              </c:strCache>
            </c:strRef>
          </c:cat>
          <c:val>
            <c:numRef>
              <c:f>'This Month'!$F$8:$H$8</c:f>
              <c:numCache>
                <c:formatCode>0.0%</c:formatCode>
                <c:ptCount val="3"/>
                <c:pt idx="0">
                  <c:v>4.4982698961937718E-2</c:v>
                </c:pt>
                <c:pt idx="1">
                  <c:v>4.0837696335078534E-2</c:v>
                </c:pt>
                <c:pt idx="2">
                  <c:v>3.7656903765690378E-2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E7-431A-93CF-DE96EB8C6357}"/>
            </c:ext>
          </c:extLst>
        </c:ser>
        <c:ser>
          <c:idx val="5"/>
          <c:order val="5"/>
          <c:tx>
            <c:strRef>
              <c:f>'This Month'!$E$9</c:f>
              <c:strCache>
                <c:ptCount val="1"/>
                <c:pt idx="0">
                  <c:v>NZ First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Month'!$F$3:$H$3</c:f>
              <c:strCache>
                <c:ptCount val="3"/>
                <c:pt idx="0">
                  <c:v>Decided</c:v>
                </c:pt>
                <c:pt idx="1">
                  <c:v>Probed</c:v>
                </c:pt>
                <c:pt idx="2">
                  <c:v>Unprobed</c:v>
                </c:pt>
              </c:strCache>
            </c:strRef>
          </c:cat>
          <c:val>
            <c:numRef>
              <c:f>'This Month'!$F$9:$H$9</c:f>
              <c:numCache>
                <c:formatCode>0.0%</c:formatCode>
                <c:ptCount val="3"/>
                <c:pt idx="0">
                  <c:v>0.11880046136101499</c:v>
                </c:pt>
                <c:pt idx="1">
                  <c:v>0.10785340314136126</c:v>
                </c:pt>
                <c:pt idx="2">
                  <c:v>0.10146443514644352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E7-431A-93CF-DE96EB8C6357}"/>
            </c:ext>
          </c:extLst>
        </c:ser>
        <c:ser>
          <c:idx val="6"/>
          <c:order val="6"/>
          <c:tx>
            <c:strRef>
              <c:f>'This Month'!$E$10</c:f>
              <c:strCache>
                <c:ptCount val="1"/>
                <c:pt idx="0">
                  <c:v>ACT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Month'!$F$3:$H$3</c:f>
              <c:strCache>
                <c:ptCount val="3"/>
                <c:pt idx="0">
                  <c:v>Decided</c:v>
                </c:pt>
                <c:pt idx="1">
                  <c:v>Probed</c:v>
                </c:pt>
                <c:pt idx="2">
                  <c:v>Unprobed</c:v>
                </c:pt>
              </c:strCache>
            </c:strRef>
          </c:cat>
          <c:val>
            <c:numRef>
              <c:f>'This Month'!$F$10:$H$10</c:f>
              <c:numCache>
                <c:formatCode>0.0%</c:formatCode>
                <c:ptCount val="3"/>
                <c:pt idx="0">
                  <c:v>7.0357554786620535E-2</c:v>
                </c:pt>
                <c:pt idx="1">
                  <c:v>6.3874345549738226E-2</c:v>
                </c:pt>
                <c:pt idx="2">
                  <c:v>6.0669456066945605E-2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E7-431A-93CF-DE96EB8C6357}"/>
            </c:ext>
          </c:extLst>
        </c:ser>
        <c:ser>
          <c:idx val="7"/>
          <c:order val="7"/>
          <c:tx>
            <c:strRef>
              <c:f>'This Month'!$E$11</c:f>
              <c:strCache>
                <c:ptCount val="1"/>
                <c:pt idx="0">
                  <c:v>National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Month'!$F$3:$H$3</c:f>
              <c:strCache>
                <c:ptCount val="3"/>
                <c:pt idx="0">
                  <c:v>Decided</c:v>
                </c:pt>
                <c:pt idx="1">
                  <c:v>Probed</c:v>
                </c:pt>
                <c:pt idx="2">
                  <c:v>Unprobed</c:v>
                </c:pt>
              </c:strCache>
            </c:strRef>
          </c:cat>
          <c:val>
            <c:numRef>
              <c:f>'This Month'!$F$11:$H$11</c:f>
              <c:numCache>
                <c:formatCode>0.0%</c:formatCode>
                <c:ptCount val="3"/>
                <c:pt idx="0">
                  <c:v>0.31487889273356401</c:v>
                </c:pt>
                <c:pt idx="1">
                  <c:v>0.28586387434554972</c:v>
                </c:pt>
                <c:pt idx="2">
                  <c:v>0.25627615062761505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E7-431A-93CF-DE96EB8C63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1684032"/>
        <c:axId val="651686656"/>
      </c:barChart>
      <c:catAx>
        <c:axId val="65168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86656"/>
        <c:crosses val="autoZero"/>
        <c:auto val="1"/>
        <c:lblAlgn val="ctr"/>
        <c:lblOffset val="100"/>
        <c:noMultiLvlLbl val="0"/>
      </c:catAx>
      <c:valAx>
        <c:axId val="6516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8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Projected Seats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Time!$J$3</c:f>
              <c:strCache>
                <c:ptCount val="1"/>
                <c:pt idx="0">
                  <c:v>CL</c:v>
                </c:pt>
              </c:strCache>
            </c:strRef>
          </c:tx>
          <c:spPr>
            <a:ln w="635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Time!$I$4:$I$65</c:f>
              <c:numCache>
                <c:formatCode>mmm\-yy</c:formatCode>
                <c:ptCount val="6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45213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  <c:pt idx="46">
                  <c:v>45566</c:v>
                </c:pt>
                <c:pt idx="47">
                  <c:v>45597</c:v>
                </c:pt>
                <c:pt idx="48">
                  <c:v>45627</c:v>
                </c:pt>
                <c:pt idx="49">
                  <c:v>45658</c:v>
                </c:pt>
                <c:pt idx="50">
                  <c:v>45689</c:v>
                </c:pt>
                <c:pt idx="51">
                  <c:v>45717</c:v>
                </c:pt>
                <c:pt idx="52">
                  <c:v>45748</c:v>
                </c:pt>
                <c:pt idx="53">
                  <c:v>45778</c:v>
                </c:pt>
                <c:pt idx="54">
                  <c:v>45809</c:v>
                </c:pt>
                <c:pt idx="55">
                  <c:v>45839</c:v>
                </c:pt>
                <c:pt idx="56">
                  <c:v>45870</c:v>
                </c:pt>
                <c:pt idx="57">
                  <c:v>45901</c:v>
                </c:pt>
                <c:pt idx="58">
                  <c:v>45931</c:v>
                </c:pt>
                <c:pt idx="59">
                  <c:v>45962</c:v>
                </c:pt>
                <c:pt idx="60">
                  <c:v>45992</c:v>
                </c:pt>
                <c:pt idx="61">
                  <c:v>46023</c:v>
                </c:pt>
              </c:numCache>
            </c:numRef>
          </c:cat>
          <c:val>
            <c:numRef>
              <c:f>Time!$J$4:$J$65</c:f>
              <c:numCache>
                <c:formatCode>_(* #,##0_);_(* \(#,##0\);_(* "-"??_);_(@_)</c:formatCode>
                <c:ptCount val="62"/>
                <c:pt idx="0">
                  <c:v>74</c:v>
                </c:pt>
                <c:pt idx="1">
                  <c:v>73</c:v>
                </c:pt>
                <c:pt idx="2">
                  <c:v>74</c:v>
                </c:pt>
                <c:pt idx="3">
                  <c:v>69</c:v>
                </c:pt>
                <c:pt idx="4">
                  <c:v>71</c:v>
                </c:pt>
                <c:pt idx="5">
                  <c:v>65</c:v>
                </c:pt>
                <c:pt idx="6">
                  <c:v>66</c:v>
                </c:pt>
                <c:pt idx="7">
                  <c:v>68</c:v>
                </c:pt>
                <c:pt idx="8">
                  <c:v>73</c:v>
                </c:pt>
                <c:pt idx="9">
                  <c:v>66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62</c:v>
                </c:pt>
                <c:pt idx="14">
                  <c:v>62</c:v>
                </c:pt>
                <c:pt idx="15">
                  <c:v>58</c:v>
                </c:pt>
                <c:pt idx="16">
                  <c:v>56</c:v>
                </c:pt>
                <c:pt idx="17">
                  <c:v>56</c:v>
                </c:pt>
                <c:pt idx="18">
                  <c:v>55</c:v>
                </c:pt>
                <c:pt idx="19">
                  <c:v>57</c:v>
                </c:pt>
                <c:pt idx="20">
                  <c:v>55</c:v>
                </c:pt>
                <c:pt idx="21">
                  <c:v>54</c:v>
                </c:pt>
                <c:pt idx="22">
                  <c:v>56</c:v>
                </c:pt>
                <c:pt idx="23">
                  <c:v>52</c:v>
                </c:pt>
                <c:pt idx="24">
                  <c:v>55</c:v>
                </c:pt>
                <c:pt idx="25">
                  <c:v>56</c:v>
                </c:pt>
                <c:pt idx="26">
                  <c:v>57</c:v>
                </c:pt>
                <c:pt idx="27">
                  <c:v>57</c:v>
                </c:pt>
                <c:pt idx="28">
                  <c:v>53</c:v>
                </c:pt>
                <c:pt idx="29">
                  <c:v>58</c:v>
                </c:pt>
                <c:pt idx="30">
                  <c:v>60</c:v>
                </c:pt>
                <c:pt idx="31">
                  <c:v>52</c:v>
                </c:pt>
                <c:pt idx="32">
                  <c:v>56</c:v>
                </c:pt>
                <c:pt idx="33">
                  <c:v>53</c:v>
                </c:pt>
                <c:pt idx="34">
                  <c:v>55</c:v>
                </c:pt>
                <c:pt idx="35">
                  <c:v>58</c:v>
                </c:pt>
                <c:pt idx="36">
                  <c:v>56</c:v>
                </c:pt>
                <c:pt idx="37">
                  <c:v>54</c:v>
                </c:pt>
                <c:pt idx="38">
                  <c:v>51</c:v>
                </c:pt>
                <c:pt idx="39">
                  <c:v>53</c:v>
                </c:pt>
                <c:pt idx="40">
                  <c:v>56</c:v>
                </c:pt>
                <c:pt idx="41">
                  <c:v>56</c:v>
                </c:pt>
                <c:pt idx="42">
                  <c:v>58</c:v>
                </c:pt>
                <c:pt idx="43">
                  <c:v>55</c:v>
                </c:pt>
                <c:pt idx="44">
                  <c:v>57</c:v>
                </c:pt>
                <c:pt idx="45">
                  <c:v>53</c:v>
                </c:pt>
                <c:pt idx="46">
                  <c:v>57</c:v>
                </c:pt>
                <c:pt idx="47">
                  <c:v>56</c:v>
                </c:pt>
                <c:pt idx="48">
                  <c:v>52</c:v>
                </c:pt>
                <c:pt idx="49">
                  <c:v>58</c:v>
                </c:pt>
                <c:pt idx="50">
                  <c:v>61</c:v>
                </c:pt>
                <c:pt idx="51">
                  <c:v>62</c:v>
                </c:pt>
                <c:pt idx="52">
                  <c:v>57</c:v>
                </c:pt>
                <c:pt idx="53">
                  <c:v>58</c:v>
                </c:pt>
                <c:pt idx="54">
                  <c:v>60</c:v>
                </c:pt>
                <c:pt idx="55">
                  <c:v>57</c:v>
                </c:pt>
                <c:pt idx="56">
                  <c:v>61</c:v>
                </c:pt>
                <c:pt idx="57" formatCode="General">
                  <c:v>61</c:v>
                </c:pt>
                <c:pt idx="58">
                  <c:v>61</c:v>
                </c:pt>
                <c:pt idx="59">
                  <c:v>60</c:v>
                </c:pt>
                <c:pt idx="60">
                  <c:v>59</c:v>
                </c:pt>
                <c:pt idx="6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9-4F79-8BB8-48D9F77C3BCA}"/>
            </c:ext>
          </c:extLst>
        </c:ser>
        <c:ser>
          <c:idx val="1"/>
          <c:order val="1"/>
          <c:tx>
            <c:strRef>
              <c:f>Time!$K$3</c:f>
              <c:strCache>
                <c:ptCount val="1"/>
                <c:pt idx="0">
                  <c:v>CR</c:v>
                </c:pt>
              </c:strCache>
            </c:strRef>
          </c:tx>
          <c:spPr>
            <a:ln w="635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Time!$I$4:$I$65</c:f>
              <c:numCache>
                <c:formatCode>mmm\-yy</c:formatCode>
                <c:ptCount val="6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45213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  <c:pt idx="46">
                  <c:v>45566</c:v>
                </c:pt>
                <c:pt idx="47">
                  <c:v>45597</c:v>
                </c:pt>
                <c:pt idx="48">
                  <c:v>45627</c:v>
                </c:pt>
                <c:pt idx="49">
                  <c:v>45658</c:v>
                </c:pt>
                <c:pt idx="50">
                  <c:v>45689</c:v>
                </c:pt>
                <c:pt idx="51">
                  <c:v>45717</c:v>
                </c:pt>
                <c:pt idx="52">
                  <c:v>45748</c:v>
                </c:pt>
                <c:pt idx="53">
                  <c:v>45778</c:v>
                </c:pt>
                <c:pt idx="54">
                  <c:v>45809</c:v>
                </c:pt>
                <c:pt idx="55">
                  <c:v>45839</c:v>
                </c:pt>
                <c:pt idx="56">
                  <c:v>45870</c:v>
                </c:pt>
                <c:pt idx="57">
                  <c:v>45901</c:v>
                </c:pt>
                <c:pt idx="58">
                  <c:v>45931</c:v>
                </c:pt>
                <c:pt idx="59">
                  <c:v>45962</c:v>
                </c:pt>
                <c:pt idx="60">
                  <c:v>45992</c:v>
                </c:pt>
                <c:pt idx="61">
                  <c:v>46023</c:v>
                </c:pt>
              </c:numCache>
            </c:numRef>
          </c:cat>
          <c:val>
            <c:numRef>
              <c:f>Time!$K$4:$K$65</c:f>
              <c:numCache>
                <c:formatCode>_(* #,##0_);_(* \(#,##0\);_(* "-"??_);_(@_)</c:formatCode>
                <c:ptCount val="62"/>
                <c:pt idx="0">
                  <c:v>43</c:v>
                </c:pt>
                <c:pt idx="1">
                  <c:v>46</c:v>
                </c:pt>
                <c:pt idx="2">
                  <c:v>45</c:v>
                </c:pt>
                <c:pt idx="3">
                  <c:v>48</c:v>
                </c:pt>
                <c:pt idx="4">
                  <c:v>46</c:v>
                </c:pt>
                <c:pt idx="5">
                  <c:v>52</c:v>
                </c:pt>
                <c:pt idx="6">
                  <c:v>51</c:v>
                </c:pt>
                <c:pt idx="7">
                  <c:v>49</c:v>
                </c:pt>
                <c:pt idx="8">
                  <c:v>46</c:v>
                </c:pt>
                <c:pt idx="9">
                  <c:v>51</c:v>
                </c:pt>
                <c:pt idx="10">
                  <c:v>55</c:v>
                </c:pt>
                <c:pt idx="11">
                  <c:v>53</c:v>
                </c:pt>
                <c:pt idx="12">
                  <c:v>55</c:v>
                </c:pt>
                <c:pt idx="13">
                  <c:v>57</c:v>
                </c:pt>
                <c:pt idx="14">
                  <c:v>58</c:v>
                </c:pt>
                <c:pt idx="15">
                  <c:v>57</c:v>
                </c:pt>
                <c:pt idx="16">
                  <c:v>61</c:v>
                </c:pt>
                <c:pt idx="17">
                  <c:v>62</c:v>
                </c:pt>
                <c:pt idx="18">
                  <c:v>60</c:v>
                </c:pt>
                <c:pt idx="19">
                  <c:v>58</c:v>
                </c:pt>
                <c:pt idx="20">
                  <c:v>63</c:v>
                </c:pt>
                <c:pt idx="21">
                  <c:v>63</c:v>
                </c:pt>
                <c:pt idx="22">
                  <c:v>62</c:v>
                </c:pt>
                <c:pt idx="23">
                  <c:v>64</c:v>
                </c:pt>
                <c:pt idx="24">
                  <c:v>63</c:v>
                </c:pt>
                <c:pt idx="25">
                  <c:v>61</c:v>
                </c:pt>
                <c:pt idx="26">
                  <c:v>61</c:v>
                </c:pt>
                <c:pt idx="27">
                  <c:v>59</c:v>
                </c:pt>
                <c:pt idx="28">
                  <c:v>62</c:v>
                </c:pt>
                <c:pt idx="29">
                  <c:v>62</c:v>
                </c:pt>
                <c:pt idx="30">
                  <c:v>60</c:v>
                </c:pt>
                <c:pt idx="31">
                  <c:v>61</c:v>
                </c:pt>
                <c:pt idx="32">
                  <c:v>64</c:v>
                </c:pt>
                <c:pt idx="33">
                  <c:v>67</c:v>
                </c:pt>
                <c:pt idx="34">
                  <c:v>67</c:v>
                </c:pt>
                <c:pt idx="35">
                  <c:v>64</c:v>
                </c:pt>
                <c:pt idx="36">
                  <c:v>64</c:v>
                </c:pt>
                <c:pt idx="37">
                  <c:v>68</c:v>
                </c:pt>
                <c:pt idx="38">
                  <c:v>72</c:v>
                </c:pt>
                <c:pt idx="39">
                  <c:v>70</c:v>
                </c:pt>
                <c:pt idx="40">
                  <c:v>64</c:v>
                </c:pt>
                <c:pt idx="41">
                  <c:v>66</c:v>
                </c:pt>
                <c:pt idx="42">
                  <c:v>63</c:v>
                </c:pt>
                <c:pt idx="43">
                  <c:v>67</c:v>
                </c:pt>
                <c:pt idx="44">
                  <c:v>67</c:v>
                </c:pt>
                <c:pt idx="45">
                  <c:v>67</c:v>
                </c:pt>
                <c:pt idx="46">
                  <c:v>65</c:v>
                </c:pt>
                <c:pt idx="47">
                  <c:v>67</c:v>
                </c:pt>
                <c:pt idx="48">
                  <c:v>68</c:v>
                </c:pt>
                <c:pt idx="49">
                  <c:v>62</c:v>
                </c:pt>
                <c:pt idx="50">
                  <c:v>59</c:v>
                </c:pt>
                <c:pt idx="51">
                  <c:v>58</c:v>
                </c:pt>
                <c:pt idx="52">
                  <c:v>64</c:v>
                </c:pt>
                <c:pt idx="53">
                  <c:v>63</c:v>
                </c:pt>
                <c:pt idx="54">
                  <c:v>62</c:v>
                </c:pt>
                <c:pt idx="55">
                  <c:v>65</c:v>
                </c:pt>
                <c:pt idx="56">
                  <c:v>61</c:v>
                </c:pt>
                <c:pt idx="57">
                  <c:v>60</c:v>
                </c:pt>
                <c:pt idx="58">
                  <c:v>59</c:v>
                </c:pt>
                <c:pt idx="59">
                  <c:v>62</c:v>
                </c:pt>
                <c:pt idx="60">
                  <c:v>61</c:v>
                </c:pt>
                <c:pt idx="6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9-4F79-8BB8-48D9F77C3BC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6930064"/>
        <c:axId val="636928424"/>
      </c:lineChart>
      <c:dateAx>
        <c:axId val="636930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28424"/>
        <c:crosses val="autoZero"/>
        <c:auto val="1"/>
        <c:lblOffset val="100"/>
        <c:baseTimeUnit val="months"/>
      </c:dateAx>
      <c:valAx>
        <c:axId val="63692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3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Seats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BB-4BD0-AC25-91D3A3C1AA6E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BB-4BD0-AC25-91D3A3C1AA6E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BB-4BD0-AC25-91D3A3C1AA6E}"/>
              </c:ext>
            </c:extLst>
          </c:dPt>
          <c:dPt>
            <c:idx val="3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BB-4BD0-AC25-91D3A3C1AA6E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BB-4BD0-AC25-91D3A3C1AA6E}"/>
              </c:ext>
            </c:extLst>
          </c:dPt>
          <c:dPt>
            <c:idx val="5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BB-4BD0-AC25-91D3A3C1AA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'This Month'!$A$42:$A$47</c:f>
              <c:strCache>
                <c:ptCount val="6"/>
                <c:pt idx="0">
                  <c:v>Labour</c:v>
                </c:pt>
                <c:pt idx="1">
                  <c:v>Green</c:v>
                </c:pt>
                <c:pt idx="2">
                  <c:v>Maori</c:v>
                </c:pt>
                <c:pt idx="3">
                  <c:v>NZ First</c:v>
                </c:pt>
                <c:pt idx="4">
                  <c:v>ACT</c:v>
                </c:pt>
                <c:pt idx="5">
                  <c:v>National</c:v>
                </c:pt>
              </c:strCache>
            </c:strRef>
          </c:cat>
          <c:val>
            <c:numRef>
              <c:f>'This Month'!$B$42:$B$47</c:f>
              <c:numCache>
                <c:formatCode>General</c:formatCode>
                <c:ptCount val="6"/>
                <c:pt idx="0">
                  <c:v>43</c:v>
                </c:pt>
                <c:pt idx="1">
                  <c:v>10</c:v>
                </c:pt>
                <c:pt idx="2">
                  <c:v>4</c:v>
                </c:pt>
                <c:pt idx="3">
                  <c:v>15</c:v>
                </c:pt>
                <c:pt idx="4">
                  <c:v>9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1BB-4BD0-AC25-91D3A3C1A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Party Vote by Gender and Age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'This Month'!$F$175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Month'!$G$174:$K$174</c:f>
              <c:strCache>
                <c:ptCount val="5"/>
                <c:pt idx="0">
                  <c:v>60+</c:v>
                </c:pt>
                <c:pt idx="1">
                  <c:v>40 - 59</c:v>
                </c:pt>
                <c:pt idx="2">
                  <c:v>Under 40</c:v>
                </c:pt>
                <c:pt idx="3">
                  <c:v>Males</c:v>
                </c:pt>
                <c:pt idx="4">
                  <c:v>Females</c:v>
                </c:pt>
              </c:strCache>
            </c:strRef>
          </c:cat>
          <c:val>
            <c:numRef>
              <c:f>'This Month'!$G$175:$K$175</c:f>
              <c:numCache>
                <c:formatCode>0%</c:formatCode>
                <c:ptCount val="5"/>
                <c:pt idx="0">
                  <c:v>0.37</c:v>
                </c:pt>
                <c:pt idx="1">
                  <c:v>0.5</c:v>
                </c:pt>
                <c:pt idx="2">
                  <c:v>0.48399999999999999</c:v>
                </c:pt>
                <c:pt idx="3">
                  <c:v>0.40299999999999997</c:v>
                </c:pt>
                <c:pt idx="4">
                  <c:v>0.49600000000000005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1-44A4-8219-3A8410BEE3AB}"/>
            </c:ext>
          </c:extLst>
        </c:ser>
        <c:ser>
          <c:idx val="1"/>
          <c:order val="1"/>
          <c:tx>
            <c:strRef>
              <c:f>'This Month'!$F$176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Month'!$G$174:$K$174</c:f>
              <c:strCache>
                <c:ptCount val="5"/>
                <c:pt idx="0">
                  <c:v>60+</c:v>
                </c:pt>
                <c:pt idx="1">
                  <c:v>40 - 59</c:v>
                </c:pt>
                <c:pt idx="2">
                  <c:v>Under 40</c:v>
                </c:pt>
                <c:pt idx="3">
                  <c:v>Males</c:v>
                </c:pt>
                <c:pt idx="4">
                  <c:v>Females</c:v>
                </c:pt>
              </c:strCache>
            </c:strRef>
          </c:cat>
          <c:val>
            <c:numRef>
              <c:f>'This Month'!$G$176:$K$176</c:f>
              <c:numCache>
                <c:formatCode>0%</c:formatCode>
                <c:ptCount val="5"/>
                <c:pt idx="0">
                  <c:v>2.0000000000000018E-2</c:v>
                </c:pt>
                <c:pt idx="1">
                  <c:v>3.7000000000000033E-2</c:v>
                </c:pt>
                <c:pt idx="2">
                  <c:v>7.3000000000000009E-2</c:v>
                </c:pt>
                <c:pt idx="3">
                  <c:v>5.5999999999999939E-2</c:v>
                </c:pt>
                <c:pt idx="4">
                  <c:v>3.5000000000000031E-2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1-44A4-8219-3A8410BEE3AB}"/>
            </c:ext>
          </c:extLst>
        </c:ser>
        <c:ser>
          <c:idx val="2"/>
          <c:order val="2"/>
          <c:tx>
            <c:strRef>
              <c:f>'This Month'!$F$177</c:f>
              <c:strCache>
                <c:ptCount val="1"/>
                <c:pt idx="0">
                  <c:v>CR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Month'!$G$174:$K$174</c:f>
              <c:strCache>
                <c:ptCount val="5"/>
                <c:pt idx="0">
                  <c:v>60+</c:v>
                </c:pt>
                <c:pt idx="1">
                  <c:v>40 - 59</c:v>
                </c:pt>
                <c:pt idx="2">
                  <c:v>Under 40</c:v>
                </c:pt>
                <c:pt idx="3">
                  <c:v>Males</c:v>
                </c:pt>
                <c:pt idx="4">
                  <c:v>Females</c:v>
                </c:pt>
              </c:strCache>
            </c:strRef>
          </c:cat>
          <c:val>
            <c:numRef>
              <c:f>'This Month'!$G$177:$K$177</c:f>
              <c:numCache>
                <c:formatCode>0%</c:formatCode>
                <c:ptCount val="5"/>
                <c:pt idx="0">
                  <c:v>0.61</c:v>
                </c:pt>
                <c:pt idx="1">
                  <c:v>0.46299999999999997</c:v>
                </c:pt>
                <c:pt idx="2">
                  <c:v>0.443</c:v>
                </c:pt>
                <c:pt idx="3">
                  <c:v>0.54100000000000004</c:v>
                </c:pt>
                <c:pt idx="4">
                  <c:v>0.46899999999999997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71-44A4-8219-3A8410BEE3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1684032"/>
        <c:axId val="651686656"/>
      </c:barChart>
      <c:catAx>
        <c:axId val="65168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86656"/>
        <c:crosses val="autoZero"/>
        <c:auto val="1"/>
        <c:lblAlgn val="ctr"/>
        <c:lblOffset val="100"/>
        <c:noMultiLvlLbl val="0"/>
      </c:catAx>
      <c:valAx>
        <c:axId val="6516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8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Party Vote by Area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'This Month'!$I$197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Month'!$J$196:$O$196</c:f>
              <c:strCache>
                <c:ptCount val="6"/>
                <c:pt idx="0">
                  <c:v>Rural</c:v>
                </c:pt>
                <c:pt idx="1">
                  <c:v>Towns</c:v>
                </c:pt>
                <c:pt idx="2">
                  <c:v>Prov Cities</c:v>
                </c:pt>
                <c:pt idx="3">
                  <c:v>Chch</c:v>
                </c:pt>
                <c:pt idx="4">
                  <c:v>Wlg</c:v>
                </c:pt>
                <c:pt idx="5">
                  <c:v>Akl</c:v>
                </c:pt>
              </c:strCache>
            </c:strRef>
          </c:cat>
          <c:val>
            <c:numRef>
              <c:f>'This Month'!$J$197:$O$197</c:f>
              <c:numCache>
                <c:formatCode>0%</c:formatCode>
                <c:ptCount val="6"/>
                <c:pt idx="0">
                  <c:v>0.39099999999999996</c:v>
                </c:pt>
                <c:pt idx="1">
                  <c:v>0.40100000000000002</c:v>
                </c:pt>
                <c:pt idx="2">
                  <c:v>0.438</c:v>
                </c:pt>
                <c:pt idx="3">
                  <c:v>0.52300000000000002</c:v>
                </c:pt>
                <c:pt idx="4">
                  <c:v>0.58899999999999997</c:v>
                </c:pt>
                <c:pt idx="5">
                  <c:v>0.46400000000000002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C-4CAD-974C-91F29B2EA2D7}"/>
            </c:ext>
          </c:extLst>
        </c:ser>
        <c:ser>
          <c:idx val="1"/>
          <c:order val="1"/>
          <c:tx>
            <c:strRef>
              <c:f>'This Month'!$I$198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Month'!$J$196:$O$196</c:f>
              <c:strCache>
                <c:ptCount val="6"/>
                <c:pt idx="0">
                  <c:v>Rural</c:v>
                </c:pt>
                <c:pt idx="1">
                  <c:v>Towns</c:v>
                </c:pt>
                <c:pt idx="2">
                  <c:v>Prov Cities</c:v>
                </c:pt>
                <c:pt idx="3">
                  <c:v>Chch</c:v>
                </c:pt>
                <c:pt idx="4">
                  <c:v>Wlg</c:v>
                </c:pt>
                <c:pt idx="5">
                  <c:v>Akl</c:v>
                </c:pt>
              </c:strCache>
            </c:strRef>
          </c:cat>
          <c:val>
            <c:numRef>
              <c:f>'This Month'!$J$198:$O$198</c:f>
              <c:numCache>
                <c:formatCode>0%</c:formatCode>
                <c:ptCount val="6"/>
                <c:pt idx="0">
                  <c:v>9.5999999999999974E-2</c:v>
                </c:pt>
                <c:pt idx="1">
                  <c:v>1.2999999999999901E-2</c:v>
                </c:pt>
                <c:pt idx="2">
                  <c:v>3.7000000000000033E-2</c:v>
                </c:pt>
                <c:pt idx="3">
                  <c:v>3.7000000000000033E-2</c:v>
                </c:pt>
                <c:pt idx="4">
                  <c:v>4.6000000000000041E-2</c:v>
                </c:pt>
                <c:pt idx="5">
                  <c:v>4.8000000000000043E-2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BC-4CAD-974C-91F29B2EA2D7}"/>
            </c:ext>
          </c:extLst>
        </c:ser>
        <c:ser>
          <c:idx val="2"/>
          <c:order val="2"/>
          <c:tx>
            <c:strRef>
              <c:f>'This Month'!$I$199</c:f>
              <c:strCache>
                <c:ptCount val="1"/>
                <c:pt idx="0">
                  <c:v>CR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Month'!$J$196:$O$196</c:f>
              <c:strCache>
                <c:ptCount val="6"/>
                <c:pt idx="0">
                  <c:v>Rural</c:v>
                </c:pt>
                <c:pt idx="1">
                  <c:v>Towns</c:v>
                </c:pt>
                <c:pt idx="2">
                  <c:v>Prov Cities</c:v>
                </c:pt>
                <c:pt idx="3">
                  <c:v>Chch</c:v>
                </c:pt>
                <c:pt idx="4">
                  <c:v>Wlg</c:v>
                </c:pt>
                <c:pt idx="5">
                  <c:v>Akl</c:v>
                </c:pt>
              </c:strCache>
            </c:strRef>
          </c:cat>
          <c:val>
            <c:numRef>
              <c:f>'This Month'!$J$199:$O$199</c:f>
              <c:numCache>
                <c:formatCode>0%</c:formatCode>
                <c:ptCount val="6"/>
                <c:pt idx="0">
                  <c:v>0.51300000000000001</c:v>
                </c:pt>
                <c:pt idx="1">
                  <c:v>0.58600000000000008</c:v>
                </c:pt>
                <c:pt idx="2">
                  <c:v>0.52500000000000002</c:v>
                </c:pt>
                <c:pt idx="3">
                  <c:v>0.43999999999999995</c:v>
                </c:pt>
                <c:pt idx="4">
                  <c:v>0.36499999999999999</c:v>
                </c:pt>
                <c:pt idx="5">
                  <c:v>0.48799999999999999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BC-4CAD-974C-91F29B2EA2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1684032"/>
        <c:axId val="651686656"/>
      </c:barChart>
      <c:catAx>
        <c:axId val="65168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86656"/>
        <c:crosses val="autoZero"/>
        <c:auto val="1"/>
        <c:lblAlgn val="ctr"/>
        <c:lblOffset val="100"/>
        <c:noMultiLvlLbl val="0"/>
      </c:catAx>
      <c:valAx>
        <c:axId val="6516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8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Party Vote by Ethnicity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'This Month'!$I$202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Month'!$J$201:$M$201</c:f>
              <c:strCache>
                <c:ptCount val="4"/>
                <c:pt idx="0">
                  <c:v>European</c:v>
                </c:pt>
                <c:pt idx="1">
                  <c:v>Māori</c:v>
                </c:pt>
                <c:pt idx="2">
                  <c:v>Pacific</c:v>
                </c:pt>
                <c:pt idx="3">
                  <c:v>Asian</c:v>
                </c:pt>
              </c:strCache>
            </c:strRef>
          </c:cat>
          <c:val>
            <c:numRef>
              <c:f>'This Month'!$J$202:$M$202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A-4B4B-AA05-3060C6DC24F1}"/>
            </c:ext>
          </c:extLst>
        </c:ser>
        <c:ser>
          <c:idx val="1"/>
          <c:order val="1"/>
          <c:tx>
            <c:strRef>
              <c:f>'This Month'!$I$203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Month'!$J$201:$M$201</c:f>
              <c:strCache>
                <c:ptCount val="4"/>
                <c:pt idx="0">
                  <c:v>European</c:v>
                </c:pt>
                <c:pt idx="1">
                  <c:v>Māori</c:v>
                </c:pt>
                <c:pt idx="2">
                  <c:v>Pacific</c:v>
                </c:pt>
                <c:pt idx="3">
                  <c:v>Asian</c:v>
                </c:pt>
              </c:strCache>
            </c:strRef>
          </c:cat>
          <c:val>
            <c:numRef>
              <c:f>'This Month'!$J$203:$M$203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A-4B4B-AA05-3060C6DC24F1}"/>
            </c:ext>
          </c:extLst>
        </c:ser>
        <c:ser>
          <c:idx val="2"/>
          <c:order val="2"/>
          <c:tx>
            <c:strRef>
              <c:f>'This Month'!$I$204</c:f>
              <c:strCache>
                <c:ptCount val="1"/>
                <c:pt idx="0">
                  <c:v>CR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Month'!$J$201:$M$201</c:f>
              <c:strCache>
                <c:ptCount val="4"/>
                <c:pt idx="0">
                  <c:v>European</c:v>
                </c:pt>
                <c:pt idx="1">
                  <c:v>Māori</c:v>
                </c:pt>
                <c:pt idx="2">
                  <c:v>Pacific</c:v>
                </c:pt>
                <c:pt idx="3">
                  <c:v>Asian</c:v>
                </c:pt>
              </c:strCache>
            </c:strRef>
          </c:cat>
          <c:val>
            <c:numRef>
              <c:f>'This Month'!$J$204:$M$204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A-4B4B-AA05-3060C6DC24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1684032"/>
        <c:axId val="651686656"/>
      </c:barChart>
      <c:catAx>
        <c:axId val="65168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86656"/>
        <c:crosses val="autoZero"/>
        <c:auto val="1"/>
        <c:lblAlgn val="ctr"/>
        <c:lblOffset val="100"/>
        <c:noMultiLvlLbl val="0"/>
      </c:catAx>
      <c:valAx>
        <c:axId val="6516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68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Preferred 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Time!$AC$11</c:f>
              <c:strCache>
                <c:ptCount val="1"/>
                <c:pt idx="0">
                  <c:v>Ardern/Hipkins</c:v>
                </c:pt>
              </c:strCache>
            </c:strRef>
          </c:tx>
          <c:spPr>
            <a:ln w="635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3E2D-B647-9799-31C978EBAB1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2D-B647-9799-31C978EBAB1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2D-B647-9799-31C978EBAB1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2D-B647-9799-31C978EBAB1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E2D-B647-9799-31C978EBAB1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2D-B647-9799-31C978EBAB1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3E2D-B647-9799-31C978EBAB1C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E2D-B647-9799-31C978EBAB1C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3E2D-B647-9799-31C978EBAB1C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E2D-B647-9799-31C978EBAB1C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2D-B647-9799-31C978EBAB1C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E2D-B647-9799-31C978EBAB1C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E2D-B647-9799-31C978EBAB1C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E2D-B647-9799-31C978EBAB1C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3E2D-B647-9799-31C978EBAB1C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E2D-B647-9799-31C978EBAB1C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3E2D-B647-9799-31C978EBAB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Time!$AB$12:$AB$64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Time!$AC$12:$AC$64</c:f>
              <c:numCache>
                <c:formatCode>0%</c:formatCode>
                <c:ptCount val="53"/>
                <c:pt idx="0">
                  <c:v>0.50800000000000001</c:v>
                </c:pt>
                <c:pt idx="1">
                  <c:v>0.47200000000000003</c:v>
                </c:pt>
                <c:pt idx="2">
                  <c:v>0.34</c:v>
                </c:pt>
                <c:pt idx="3">
                  <c:v>0.39100000000000001</c:v>
                </c:pt>
                <c:pt idx="4">
                  <c:v>0.375</c:v>
                </c:pt>
                <c:pt idx="5">
                  <c:v>0.38900000000000001</c:v>
                </c:pt>
                <c:pt idx="6">
                  <c:v>0.37799999999999995</c:v>
                </c:pt>
                <c:pt idx="7">
                  <c:v>0.36299999999999999</c:v>
                </c:pt>
                <c:pt idx="8">
                  <c:v>0.35100000000000003</c:v>
                </c:pt>
                <c:pt idx="9">
                  <c:v>0.39700000000000002</c:v>
                </c:pt>
                <c:pt idx="10">
                  <c:v>0.41199999999999998</c:v>
                </c:pt>
                <c:pt idx="11">
                  <c:v>0.39500000000000002</c:v>
                </c:pt>
                <c:pt idx="12">
                  <c:v>0.36499999999999999</c:v>
                </c:pt>
                <c:pt idx="13">
                  <c:v>0.32899999999999996</c:v>
                </c:pt>
                <c:pt idx="14">
                  <c:v>0.35</c:v>
                </c:pt>
                <c:pt idx="15">
                  <c:v>0.35299999999999998</c:v>
                </c:pt>
                <c:pt idx="16">
                  <c:v>0.33600000000000002</c:v>
                </c:pt>
                <c:pt idx="17">
                  <c:v>0.29699999999999999</c:v>
                </c:pt>
                <c:pt idx="18">
                  <c:v>0.30399999999999999</c:v>
                </c:pt>
                <c:pt idx="19">
                  <c:v>0.25900000000000001</c:v>
                </c:pt>
                <c:pt idx="20">
                  <c:v>0.26300000000000001</c:v>
                </c:pt>
                <c:pt idx="21">
                  <c:v>0.28600000000000003</c:v>
                </c:pt>
                <c:pt idx="22">
                  <c:v>0.22600000000000001</c:v>
                </c:pt>
                <c:pt idx="23">
                  <c:v>0.251</c:v>
                </c:pt>
                <c:pt idx="24">
                  <c:v>0.251</c:v>
                </c:pt>
                <c:pt idx="25">
                  <c:v>0.27300000000000002</c:v>
                </c:pt>
                <c:pt idx="26">
                  <c:v>0.18</c:v>
                </c:pt>
                <c:pt idx="27">
                  <c:v>0.217</c:v>
                </c:pt>
                <c:pt idx="28">
                  <c:v>0.13100000000000001</c:v>
                </c:pt>
                <c:pt idx="29">
                  <c:v>0.193</c:v>
                </c:pt>
                <c:pt idx="30">
                  <c:v>0.184</c:v>
                </c:pt>
                <c:pt idx="31">
                  <c:v>0.17300000000000001</c:v>
                </c:pt>
                <c:pt idx="32">
                  <c:v>0.21100000000000002</c:v>
                </c:pt>
                <c:pt idx="33">
                  <c:v>0.20199999999999999</c:v>
                </c:pt>
                <c:pt idx="34">
                  <c:v>0.187</c:v>
                </c:pt>
                <c:pt idx="35">
                  <c:v>0.16800000000000001</c:v>
                </c:pt>
                <c:pt idx="36">
                  <c:v>0.126</c:v>
                </c:pt>
                <c:pt idx="37">
                  <c:v>0.16899999999999998</c:v>
                </c:pt>
                <c:pt idx="38">
                  <c:v>0.155</c:v>
                </c:pt>
                <c:pt idx="39">
                  <c:v>0.19899999999999998</c:v>
                </c:pt>
                <c:pt idx="40">
                  <c:v>0.153</c:v>
                </c:pt>
                <c:pt idx="41">
                  <c:v>0.17600000000000002</c:v>
                </c:pt>
                <c:pt idx="42">
                  <c:v>0.20699999999999999</c:v>
                </c:pt>
                <c:pt idx="43">
                  <c:v>0.18899999999999997</c:v>
                </c:pt>
                <c:pt idx="44">
                  <c:v>0.2</c:v>
                </c:pt>
                <c:pt idx="45">
                  <c:v>0.185</c:v>
                </c:pt>
                <c:pt idx="46">
                  <c:v>0.19600000000000001</c:v>
                </c:pt>
                <c:pt idx="47">
                  <c:v>0.20199999999999999</c:v>
                </c:pt>
                <c:pt idx="48">
                  <c:v>0.17699999999999999</c:v>
                </c:pt>
                <c:pt idx="49">
                  <c:v>0.20899999999999999</c:v>
                </c:pt>
                <c:pt idx="50">
                  <c:v>0.20600000000000002</c:v>
                </c:pt>
                <c:pt idx="51">
                  <c:v>0.17800000000000002</c:v>
                </c:pt>
                <c:pt idx="5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75-4AFF-A33D-59B671C80ECE}"/>
            </c:ext>
          </c:extLst>
        </c:ser>
        <c:ser>
          <c:idx val="2"/>
          <c:order val="1"/>
          <c:tx>
            <c:strRef>
              <c:f>Time!$AD$11</c:f>
              <c:strCache>
                <c:ptCount val="1"/>
                <c:pt idx="0">
                  <c:v>Seymour</c:v>
                </c:pt>
              </c:strCache>
            </c:strRef>
          </c:tx>
          <c:spPr>
            <a:ln w="635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Time!$AB$12:$AB$64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Time!$AD$12:$AD$64</c:f>
              <c:numCache>
                <c:formatCode>0%</c:formatCode>
                <c:ptCount val="53"/>
                <c:pt idx="0">
                  <c:v>9.2999999999999999E-2</c:v>
                </c:pt>
                <c:pt idx="1">
                  <c:v>0.12300000000000001</c:v>
                </c:pt>
                <c:pt idx="2">
                  <c:v>0.105</c:v>
                </c:pt>
                <c:pt idx="3">
                  <c:v>5.6000000000000001E-2</c:v>
                </c:pt>
                <c:pt idx="4">
                  <c:v>8.4000000000000005E-2</c:v>
                </c:pt>
                <c:pt idx="5">
                  <c:v>2.4E-2</c:v>
                </c:pt>
                <c:pt idx="6">
                  <c:v>4.4000000000000004E-2</c:v>
                </c:pt>
                <c:pt idx="7">
                  <c:v>4.8000000000000001E-2</c:v>
                </c:pt>
                <c:pt idx="8">
                  <c:v>6.5000000000000002E-2</c:v>
                </c:pt>
                <c:pt idx="9">
                  <c:v>5.5999999999999994E-2</c:v>
                </c:pt>
                <c:pt idx="10">
                  <c:v>6.0999999999999999E-2</c:v>
                </c:pt>
                <c:pt idx="11">
                  <c:v>7.6999999999999999E-2</c:v>
                </c:pt>
                <c:pt idx="12">
                  <c:v>6.6000000000000003E-2</c:v>
                </c:pt>
                <c:pt idx="13">
                  <c:v>7.2999999999999995E-2</c:v>
                </c:pt>
                <c:pt idx="14">
                  <c:v>6.0999999999999999E-2</c:v>
                </c:pt>
                <c:pt idx="15">
                  <c:v>7.0999999999999994E-2</c:v>
                </c:pt>
                <c:pt idx="16">
                  <c:v>7.0000000000000007E-2</c:v>
                </c:pt>
                <c:pt idx="17">
                  <c:v>8.3000000000000004E-2</c:v>
                </c:pt>
                <c:pt idx="18">
                  <c:v>8.199999999999999E-2</c:v>
                </c:pt>
                <c:pt idx="19">
                  <c:v>8.6999999999999994E-2</c:v>
                </c:pt>
                <c:pt idx="20">
                  <c:v>6.4000000000000001E-2</c:v>
                </c:pt>
                <c:pt idx="21">
                  <c:v>7.0000000000000007E-2</c:v>
                </c:pt>
                <c:pt idx="22">
                  <c:v>0.06</c:v>
                </c:pt>
                <c:pt idx="23">
                  <c:v>6.8000000000000005E-2</c:v>
                </c:pt>
                <c:pt idx="24">
                  <c:v>8.199999999999999E-2</c:v>
                </c:pt>
                <c:pt idx="25">
                  <c:v>3.7999999999999999E-2</c:v>
                </c:pt>
                <c:pt idx="26">
                  <c:v>4.4000000000000004E-2</c:v>
                </c:pt>
                <c:pt idx="27">
                  <c:v>4.4000000000000004E-2</c:v>
                </c:pt>
                <c:pt idx="28">
                  <c:v>5.5999999999999994E-2</c:v>
                </c:pt>
                <c:pt idx="29">
                  <c:v>9.5000000000000001E-2</c:v>
                </c:pt>
                <c:pt idx="30">
                  <c:v>8.1000000000000003E-2</c:v>
                </c:pt>
                <c:pt idx="31">
                  <c:v>5.9000000000000004E-2</c:v>
                </c:pt>
                <c:pt idx="32">
                  <c:v>7.2000000000000008E-2</c:v>
                </c:pt>
                <c:pt idx="33">
                  <c:v>0.05</c:v>
                </c:pt>
                <c:pt idx="34">
                  <c:v>5.5999999999999994E-2</c:v>
                </c:pt>
                <c:pt idx="35">
                  <c:v>3.9E-2</c:v>
                </c:pt>
                <c:pt idx="36">
                  <c:v>5.1999999999999998E-2</c:v>
                </c:pt>
                <c:pt idx="37">
                  <c:v>7.400000000000001E-2</c:v>
                </c:pt>
                <c:pt idx="38">
                  <c:v>7.400000000000001E-2</c:v>
                </c:pt>
                <c:pt idx="39">
                  <c:v>5.7999999999999996E-2</c:v>
                </c:pt>
                <c:pt idx="40">
                  <c:v>6.3E-2</c:v>
                </c:pt>
                <c:pt idx="41">
                  <c:v>6.4000000000000001E-2</c:v>
                </c:pt>
                <c:pt idx="42">
                  <c:v>0.05</c:v>
                </c:pt>
                <c:pt idx="43">
                  <c:v>0.08</c:v>
                </c:pt>
                <c:pt idx="44">
                  <c:v>6.7000000000000004E-2</c:v>
                </c:pt>
                <c:pt idx="45">
                  <c:v>0.06</c:v>
                </c:pt>
                <c:pt idx="46">
                  <c:v>5.7000000000000002E-2</c:v>
                </c:pt>
                <c:pt idx="47">
                  <c:v>6.2E-2</c:v>
                </c:pt>
                <c:pt idx="48">
                  <c:v>3.6999999999999998E-2</c:v>
                </c:pt>
                <c:pt idx="49">
                  <c:v>0.04</c:v>
                </c:pt>
                <c:pt idx="50">
                  <c:v>7.6999999999999999E-2</c:v>
                </c:pt>
                <c:pt idx="51">
                  <c:v>0.06</c:v>
                </c:pt>
                <c:pt idx="52">
                  <c:v>7.0999999999999994E-2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E-433D-8BEF-0B8475230ED1}"/>
            </c:ext>
          </c:extLst>
        </c:ser>
        <c:ser>
          <c:idx val="3"/>
          <c:order val="2"/>
          <c:tx>
            <c:strRef>
              <c:f>Time!$AE$11</c:f>
              <c:strCache>
                <c:ptCount val="1"/>
                <c:pt idx="0">
                  <c:v>Luxon</c:v>
                </c:pt>
              </c:strCache>
            </c:strRef>
          </c:tx>
          <c:spPr>
            <a:ln w="635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Time!$AB$12:$AB$64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Time!$AE$12:$AE$64</c:f>
              <c:numCache>
                <c:formatCode>0%</c:formatCode>
                <c:ptCount val="53"/>
                <c:pt idx="0">
                  <c:v>3.3000000000000002E-2</c:v>
                </c:pt>
                <c:pt idx="1">
                  <c:v>2.3E-2</c:v>
                </c:pt>
                <c:pt idx="2">
                  <c:v>4.0999999999999995E-2</c:v>
                </c:pt>
                <c:pt idx="3">
                  <c:v>0.20399999999999999</c:v>
                </c:pt>
                <c:pt idx="4">
                  <c:v>0.184</c:v>
                </c:pt>
                <c:pt idx="5">
                  <c:v>0.28499999999999998</c:v>
                </c:pt>
                <c:pt idx="6">
                  <c:v>0.26600000000000001</c:v>
                </c:pt>
                <c:pt idx="7">
                  <c:v>0.28599999999999998</c:v>
                </c:pt>
                <c:pt idx="8">
                  <c:v>0.27899999999999997</c:v>
                </c:pt>
                <c:pt idx="9">
                  <c:v>0.28000000000000003</c:v>
                </c:pt>
                <c:pt idx="10">
                  <c:v>0.22399999999999998</c:v>
                </c:pt>
                <c:pt idx="11">
                  <c:v>0.19500000000000001</c:v>
                </c:pt>
                <c:pt idx="12">
                  <c:v>0.25900000000000001</c:v>
                </c:pt>
                <c:pt idx="13">
                  <c:v>0.22500000000000001</c:v>
                </c:pt>
                <c:pt idx="14">
                  <c:v>0.21100000000000002</c:v>
                </c:pt>
                <c:pt idx="15">
                  <c:v>0.26300000000000001</c:v>
                </c:pt>
                <c:pt idx="16">
                  <c:v>0.25</c:v>
                </c:pt>
                <c:pt idx="17">
                  <c:v>0.26</c:v>
                </c:pt>
                <c:pt idx="18">
                  <c:v>0.20899999999999999</c:v>
                </c:pt>
                <c:pt idx="19">
                  <c:v>0.19</c:v>
                </c:pt>
                <c:pt idx="20">
                  <c:v>0.19500000000000001</c:v>
                </c:pt>
                <c:pt idx="21">
                  <c:v>0.23300000000000001</c:v>
                </c:pt>
                <c:pt idx="22">
                  <c:v>0.20300000000000001</c:v>
                </c:pt>
                <c:pt idx="23">
                  <c:v>0.247</c:v>
                </c:pt>
                <c:pt idx="24">
                  <c:v>0.253</c:v>
                </c:pt>
                <c:pt idx="25">
                  <c:v>0.28999999999999998</c:v>
                </c:pt>
                <c:pt idx="26">
                  <c:v>0.33100000000000002</c:v>
                </c:pt>
                <c:pt idx="27">
                  <c:v>0.30399999999999999</c:v>
                </c:pt>
                <c:pt idx="28">
                  <c:v>0.311</c:v>
                </c:pt>
                <c:pt idx="29">
                  <c:v>0.28699999999999998</c:v>
                </c:pt>
                <c:pt idx="30">
                  <c:v>0.29299999999999998</c:v>
                </c:pt>
                <c:pt idx="31">
                  <c:v>0.27500000000000002</c:v>
                </c:pt>
                <c:pt idx="32">
                  <c:v>0.28300000000000003</c:v>
                </c:pt>
                <c:pt idx="33">
                  <c:v>0.254</c:v>
                </c:pt>
                <c:pt idx="34">
                  <c:v>0.34499999999999997</c:v>
                </c:pt>
                <c:pt idx="35">
                  <c:v>0.314</c:v>
                </c:pt>
                <c:pt idx="36">
                  <c:v>0.32700000000000001</c:v>
                </c:pt>
                <c:pt idx="37">
                  <c:v>0.27699999999999997</c:v>
                </c:pt>
                <c:pt idx="38">
                  <c:v>0.26500000000000001</c:v>
                </c:pt>
                <c:pt idx="39">
                  <c:v>0.27100000000000002</c:v>
                </c:pt>
                <c:pt idx="40">
                  <c:v>0.245</c:v>
                </c:pt>
                <c:pt idx="41">
                  <c:v>0.20699999999999999</c:v>
                </c:pt>
                <c:pt idx="42">
                  <c:v>0.20300000000000001</c:v>
                </c:pt>
                <c:pt idx="43">
                  <c:v>0.21899999999999997</c:v>
                </c:pt>
                <c:pt idx="44">
                  <c:v>0.245</c:v>
                </c:pt>
                <c:pt idx="45">
                  <c:v>0.20300000000000001</c:v>
                </c:pt>
                <c:pt idx="46">
                  <c:v>0.19699999999999998</c:v>
                </c:pt>
                <c:pt idx="47">
                  <c:v>0.20199999999999999</c:v>
                </c:pt>
                <c:pt idx="48">
                  <c:v>0.217</c:v>
                </c:pt>
                <c:pt idx="49">
                  <c:v>0.19800000000000001</c:v>
                </c:pt>
                <c:pt idx="50">
                  <c:v>0.20800000000000002</c:v>
                </c:pt>
                <c:pt idx="51">
                  <c:v>0.19699999999999998</c:v>
                </c:pt>
                <c:pt idx="52">
                  <c:v>0.19500000000000001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B3-4092-9D86-191841BA2EB2}"/>
            </c:ext>
          </c:extLst>
        </c:ser>
        <c:ser>
          <c:idx val="4"/>
          <c:order val="3"/>
          <c:tx>
            <c:strRef>
              <c:f>Time!$AF$11</c:f>
              <c:strCache>
                <c:ptCount val="1"/>
                <c:pt idx="0">
                  <c:v>Peters</c:v>
                </c:pt>
              </c:strCache>
            </c:strRef>
          </c:tx>
          <c:spPr>
            <a:ln w="635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Time!$AB$12:$AB$64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Time!$AF$12:$AF$64</c:f>
              <c:numCache>
                <c:formatCode>0%</c:formatCode>
                <c:ptCount val="53"/>
                <c:pt idx="0">
                  <c:v>1.4999999999999999E-2</c:v>
                </c:pt>
                <c:pt idx="1">
                  <c:v>1.2999999999999999E-2</c:v>
                </c:pt>
                <c:pt idx="2">
                  <c:v>1.4999999999999999E-2</c:v>
                </c:pt>
                <c:pt idx="3">
                  <c:v>2.4E-2</c:v>
                </c:pt>
                <c:pt idx="4">
                  <c:v>8.9999999999999993E-3</c:v>
                </c:pt>
                <c:pt idx="5">
                  <c:v>1.8000000000000002E-2</c:v>
                </c:pt>
                <c:pt idx="6">
                  <c:v>5.5E-2</c:v>
                </c:pt>
                <c:pt idx="7">
                  <c:v>2.6000000000000002E-2</c:v>
                </c:pt>
                <c:pt idx="8">
                  <c:v>2.7999999999999997E-2</c:v>
                </c:pt>
                <c:pt idx="9">
                  <c:v>3.7999999999999999E-2</c:v>
                </c:pt>
                <c:pt idx="10">
                  <c:v>2.3E-2</c:v>
                </c:pt>
                <c:pt idx="11">
                  <c:v>4.2000000000000003E-2</c:v>
                </c:pt>
                <c:pt idx="12">
                  <c:v>2.6000000000000002E-2</c:v>
                </c:pt>
                <c:pt idx="13">
                  <c:v>3.6000000000000004E-2</c:v>
                </c:pt>
                <c:pt idx="14">
                  <c:v>2.5000000000000001E-2</c:v>
                </c:pt>
                <c:pt idx="15">
                  <c:v>3.4000000000000002E-2</c:v>
                </c:pt>
                <c:pt idx="16">
                  <c:v>2.7999999999999997E-2</c:v>
                </c:pt>
                <c:pt idx="17">
                  <c:v>3.5000000000000003E-2</c:v>
                </c:pt>
                <c:pt idx="18">
                  <c:v>4.2999999999999997E-2</c:v>
                </c:pt>
                <c:pt idx="19">
                  <c:v>3.2000000000000001E-2</c:v>
                </c:pt>
                <c:pt idx="20">
                  <c:v>3.4000000000000002E-2</c:v>
                </c:pt>
                <c:pt idx="21">
                  <c:v>2.7999999999999997E-2</c:v>
                </c:pt>
                <c:pt idx="22">
                  <c:v>3.6000000000000004E-2</c:v>
                </c:pt>
                <c:pt idx="23">
                  <c:v>6.7000000000000004E-2</c:v>
                </c:pt>
                <c:pt idx="24">
                  <c:v>4.4999999999999998E-2</c:v>
                </c:pt>
                <c:pt idx="25">
                  <c:v>4.2999999999999997E-2</c:v>
                </c:pt>
                <c:pt idx="26">
                  <c:v>0.05</c:v>
                </c:pt>
                <c:pt idx="27">
                  <c:v>5.9000000000000004E-2</c:v>
                </c:pt>
                <c:pt idx="28">
                  <c:v>8.199999999999999E-2</c:v>
                </c:pt>
                <c:pt idx="29">
                  <c:v>6.2E-2</c:v>
                </c:pt>
                <c:pt idx="30">
                  <c:v>5.7000000000000002E-2</c:v>
                </c:pt>
                <c:pt idx="31">
                  <c:v>7.400000000000001E-2</c:v>
                </c:pt>
                <c:pt idx="32">
                  <c:v>6.0999999999999999E-2</c:v>
                </c:pt>
                <c:pt idx="33">
                  <c:v>3.7999999999999999E-2</c:v>
                </c:pt>
                <c:pt idx="34">
                  <c:v>5.5999999999999994E-2</c:v>
                </c:pt>
                <c:pt idx="35">
                  <c:v>6.0999999999999999E-2</c:v>
                </c:pt>
                <c:pt idx="36">
                  <c:v>6.7000000000000004E-2</c:v>
                </c:pt>
                <c:pt idx="37">
                  <c:v>8.4000000000000005E-2</c:v>
                </c:pt>
                <c:pt idx="38">
                  <c:v>6.3E-2</c:v>
                </c:pt>
                <c:pt idx="39">
                  <c:v>5.7999999999999996E-2</c:v>
                </c:pt>
                <c:pt idx="40">
                  <c:v>8.8000000000000009E-2</c:v>
                </c:pt>
                <c:pt idx="41">
                  <c:v>0.08</c:v>
                </c:pt>
                <c:pt idx="42">
                  <c:v>8.5999999999999993E-2</c:v>
                </c:pt>
                <c:pt idx="43">
                  <c:v>0.128</c:v>
                </c:pt>
                <c:pt idx="44">
                  <c:v>8.1000000000000003E-2</c:v>
                </c:pt>
                <c:pt idx="45">
                  <c:v>0.08</c:v>
                </c:pt>
                <c:pt idx="46">
                  <c:v>9.3000000000000013E-2</c:v>
                </c:pt>
                <c:pt idx="47">
                  <c:v>8.199999999999999E-2</c:v>
                </c:pt>
                <c:pt idx="48">
                  <c:v>0.109</c:v>
                </c:pt>
                <c:pt idx="49">
                  <c:v>9.9000000000000005E-2</c:v>
                </c:pt>
                <c:pt idx="50">
                  <c:v>8.5000000000000006E-2</c:v>
                </c:pt>
                <c:pt idx="51">
                  <c:v>8.5000000000000006E-2</c:v>
                </c:pt>
                <c:pt idx="52">
                  <c:v>9.6999999999999989E-2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27D-4B5E-9100-6C69D8C402FB}"/>
            </c:ext>
          </c:extLst>
        </c:ser>
        <c:ser>
          <c:idx val="5"/>
          <c:order val="4"/>
          <c:tx>
            <c:strRef>
              <c:f>Time!$AG$11</c:f>
              <c:strCache>
                <c:ptCount val="1"/>
                <c:pt idx="0">
                  <c:v>Swarbrick</c:v>
                </c:pt>
              </c:strCache>
            </c:strRef>
          </c:tx>
          <c:spPr>
            <a:ln w="635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Time!$AB$12:$AB$64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Time!$AG$12:$AG$64</c:f>
              <c:numCache>
                <c:formatCode>0%</c:formatCode>
                <c:ptCount val="53"/>
                <c:pt idx="12">
                  <c:v>3.2000000000000001E-2</c:v>
                </c:pt>
                <c:pt idx="13">
                  <c:v>4.8000000000000001E-2</c:v>
                </c:pt>
                <c:pt idx="14">
                  <c:v>5.7999999999999996E-2</c:v>
                </c:pt>
                <c:pt idx="15">
                  <c:v>3.1E-2</c:v>
                </c:pt>
                <c:pt idx="16">
                  <c:v>3.4000000000000002E-2</c:v>
                </c:pt>
                <c:pt idx="17">
                  <c:v>1.9E-2</c:v>
                </c:pt>
                <c:pt idx="18">
                  <c:v>3.1E-2</c:v>
                </c:pt>
                <c:pt idx="19">
                  <c:v>4.5999999999999999E-2</c:v>
                </c:pt>
                <c:pt idx="20">
                  <c:v>4.2000000000000003E-2</c:v>
                </c:pt>
                <c:pt idx="21">
                  <c:v>2.4E-2</c:v>
                </c:pt>
                <c:pt idx="22">
                  <c:v>2.3E-2</c:v>
                </c:pt>
                <c:pt idx="23">
                  <c:v>0.04</c:v>
                </c:pt>
                <c:pt idx="24">
                  <c:v>4.7E-2</c:v>
                </c:pt>
                <c:pt idx="25">
                  <c:v>6.0999999999999999E-2</c:v>
                </c:pt>
                <c:pt idx="26">
                  <c:v>6.3E-2</c:v>
                </c:pt>
                <c:pt idx="27">
                  <c:v>2.8999999999999998E-2</c:v>
                </c:pt>
                <c:pt idx="28">
                  <c:v>5.5999999999999994E-2</c:v>
                </c:pt>
                <c:pt idx="29">
                  <c:v>5.7000000000000002E-2</c:v>
                </c:pt>
                <c:pt idx="30">
                  <c:v>7.2000000000000008E-2</c:v>
                </c:pt>
                <c:pt idx="31">
                  <c:v>6.3E-2</c:v>
                </c:pt>
                <c:pt idx="32">
                  <c:v>8.5000000000000006E-2</c:v>
                </c:pt>
                <c:pt idx="33">
                  <c:v>8.5999999999999993E-2</c:v>
                </c:pt>
                <c:pt idx="34">
                  <c:v>0.109</c:v>
                </c:pt>
                <c:pt idx="35">
                  <c:v>6.5000000000000002E-2</c:v>
                </c:pt>
                <c:pt idx="36">
                  <c:v>7.2000000000000008E-2</c:v>
                </c:pt>
                <c:pt idx="37">
                  <c:v>9.9000000000000005E-2</c:v>
                </c:pt>
                <c:pt idx="38">
                  <c:v>5.2000000000000005E-2</c:v>
                </c:pt>
                <c:pt idx="39">
                  <c:v>4.4999999999999998E-2</c:v>
                </c:pt>
                <c:pt idx="40">
                  <c:v>8.5000000000000006E-2</c:v>
                </c:pt>
                <c:pt idx="41">
                  <c:v>8.900000000000001E-2</c:v>
                </c:pt>
                <c:pt idx="42">
                  <c:v>4.8000000000000001E-2</c:v>
                </c:pt>
                <c:pt idx="43">
                  <c:v>4.2000000000000003E-2</c:v>
                </c:pt>
                <c:pt idx="44">
                  <c:v>0.05</c:v>
                </c:pt>
                <c:pt idx="45">
                  <c:v>5.5999999999999994E-2</c:v>
                </c:pt>
                <c:pt idx="46">
                  <c:v>7.0000000000000007E-2</c:v>
                </c:pt>
                <c:pt idx="47">
                  <c:v>0.08</c:v>
                </c:pt>
                <c:pt idx="48">
                  <c:v>8.8000000000000009E-2</c:v>
                </c:pt>
                <c:pt idx="49">
                  <c:v>6.3E-2</c:v>
                </c:pt>
                <c:pt idx="50">
                  <c:v>4.0999999999999995E-2</c:v>
                </c:pt>
                <c:pt idx="51">
                  <c:v>7.5999999999999998E-2</c:v>
                </c:pt>
                <c:pt idx="52">
                  <c:v>5.5E-2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CF-4EC0-90C1-34F2189FD8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88434480"/>
        <c:axId val="688435464"/>
        <c:extLst/>
      </c:lineChart>
      <c:dateAx>
        <c:axId val="6884344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35464"/>
        <c:crosses val="autoZero"/>
        <c:auto val="1"/>
        <c:lblOffset val="100"/>
        <c:baseTimeUnit val="months"/>
      </c:dateAx>
      <c:valAx>
        <c:axId val="68843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/>
              <a:t>Favourability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'This Month'!$B$119</c:f>
              <c:strCache>
                <c:ptCount val="1"/>
                <c:pt idx="0">
                  <c:v>Fav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Month'!$A$120:$A$125</c:f>
              <c:strCache>
                <c:ptCount val="6"/>
                <c:pt idx="0">
                  <c:v>Hipkins</c:v>
                </c:pt>
                <c:pt idx="1">
                  <c:v>Luxon</c:v>
                </c:pt>
                <c:pt idx="2">
                  <c:v>Seymour</c:v>
                </c:pt>
                <c:pt idx="3">
                  <c:v>Swarbrick</c:v>
                </c:pt>
                <c:pt idx="4">
                  <c:v>Davidson</c:v>
                </c:pt>
                <c:pt idx="5">
                  <c:v>Peters</c:v>
                </c:pt>
              </c:strCache>
            </c:strRef>
          </c:cat>
          <c:val>
            <c:numRef>
              <c:f>'This Month'!$B$120:$B$125</c:f>
              <c:numCache>
                <c:formatCode>0%</c:formatCode>
                <c:ptCount val="6"/>
                <c:pt idx="0">
                  <c:v>0.33100000000000002</c:v>
                </c:pt>
                <c:pt idx="1">
                  <c:v>0.27500000000000002</c:v>
                </c:pt>
                <c:pt idx="2">
                  <c:v>0.22800000000000001</c:v>
                </c:pt>
                <c:pt idx="3">
                  <c:v>0.21</c:v>
                </c:pt>
                <c:pt idx="4">
                  <c:v>0.121</c:v>
                </c:pt>
                <c:pt idx="5">
                  <c:v>0.34599999999999997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A-43D3-8FE0-A043C47A313B}"/>
            </c:ext>
          </c:extLst>
        </c:ser>
        <c:ser>
          <c:idx val="1"/>
          <c:order val="1"/>
          <c:tx>
            <c:strRef>
              <c:f>'This Month'!$C$119</c:f>
              <c:strCache>
                <c:ptCount val="1"/>
                <c:pt idx="0">
                  <c:v>Unfav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Month'!$A$120:$A$125</c:f>
              <c:strCache>
                <c:ptCount val="6"/>
                <c:pt idx="0">
                  <c:v>Hipkins</c:v>
                </c:pt>
                <c:pt idx="1">
                  <c:v>Luxon</c:v>
                </c:pt>
                <c:pt idx="2">
                  <c:v>Seymour</c:v>
                </c:pt>
                <c:pt idx="3">
                  <c:v>Swarbrick</c:v>
                </c:pt>
                <c:pt idx="4">
                  <c:v>Davidson</c:v>
                </c:pt>
                <c:pt idx="5">
                  <c:v>Peters</c:v>
                </c:pt>
              </c:strCache>
            </c:strRef>
          </c:cat>
          <c:val>
            <c:numRef>
              <c:f>'This Month'!$C$120:$C$125</c:f>
              <c:numCache>
                <c:formatCode>0%</c:formatCode>
                <c:ptCount val="6"/>
                <c:pt idx="0">
                  <c:v>0.371</c:v>
                </c:pt>
                <c:pt idx="1">
                  <c:v>0.442</c:v>
                </c:pt>
                <c:pt idx="2">
                  <c:v>0.47</c:v>
                </c:pt>
                <c:pt idx="3">
                  <c:v>0.48499999999999999</c:v>
                </c:pt>
                <c:pt idx="4">
                  <c:v>0.51300000000000001</c:v>
                </c:pt>
                <c:pt idx="5">
                  <c:v>0.40600000000000003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A-43D3-8FE0-A043C47A313B}"/>
            </c:ext>
          </c:extLst>
        </c:ser>
        <c:ser>
          <c:idx val="2"/>
          <c:order val="2"/>
          <c:tx>
            <c:strRef>
              <c:f>'This Month'!$D$119</c:f>
              <c:strCache>
                <c:ptCount val="1"/>
                <c:pt idx="0">
                  <c:v>Net Fav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Month'!$A$120:$A$125</c:f>
              <c:strCache>
                <c:ptCount val="6"/>
                <c:pt idx="0">
                  <c:v>Hipkins</c:v>
                </c:pt>
                <c:pt idx="1">
                  <c:v>Luxon</c:v>
                </c:pt>
                <c:pt idx="2">
                  <c:v>Seymour</c:v>
                </c:pt>
                <c:pt idx="3">
                  <c:v>Swarbrick</c:v>
                </c:pt>
                <c:pt idx="4">
                  <c:v>Davidson</c:v>
                </c:pt>
                <c:pt idx="5">
                  <c:v>Peters</c:v>
                </c:pt>
              </c:strCache>
            </c:strRef>
          </c:cat>
          <c:val>
            <c:numRef>
              <c:f>'This Month'!$D$120:$D$125</c:f>
              <c:numCache>
                <c:formatCode>0%</c:formatCode>
                <c:ptCount val="6"/>
                <c:pt idx="0">
                  <c:v>-3.999999999999998E-2</c:v>
                </c:pt>
                <c:pt idx="1">
                  <c:v>-0.16699999999999998</c:v>
                </c:pt>
                <c:pt idx="2">
                  <c:v>-0.24199999999999997</c:v>
                </c:pt>
                <c:pt idx="3">
                  <c:v>-0.27500000000000002</c:v>
                </c:pt>
                <c:pt idx="4">
                  <c:v>-0.39200000000000002</c:v>
                </c:pt>
                <c:pt idx="5">
                  <c:v>-6.0000000000000053E-2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5A-43D3-8FE0-A043C47A31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8665200"/>
        <c:axId val="688665528"/>
      </c:barChart>
      <c:catAx>
        <c:axId val="68866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65528"/>
        <c:crosses val="autoZero"/>
        <c:auto val="1"/>
        <c:lblAlgn val="ctr"/>
        <c:lblOffset val="100"/>
        <c:noMultiLvlLbl val="0"/>
      </c:catAx>
      <c:valAx>
        <c:axId val="688665528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652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/>
              <a:t>Net Favourability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Time!$AI$11</c:f>
              <c:strCache>
                <c:ptCount val="1"/>
                <c:pt idx="0">
                  <c:v>Ardern/Hipkins</c:v>
                </c:pt>
              </c:strCache>
            </c:strRef>
          </c:tx>
          <c:spPr>
            <a:ln w="635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FBCC-344D-84E8-AB8CD395D29E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CC-344D-84E8-AB8CD395D29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CC-344D-84E8-AB8CD395D29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CC-344D-84E8-AB8CD395D29E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CC-344D-84E8-AB8CD395D29E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BCC-344D-84E8-AB8CD395D29E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635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BCC-344D-84E8-AB8CD395D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Time!$AH$12:$AH$64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Time!$AI$12:$AI$64</c:f>
              <c:numCache>
                <c:formatCode>0%</c:formatCode>
                <c:ptCount val="53"/>
                <c:pt idx="0">
                  <c:v>0.317</c:v>
                </c:pt>
                <c:pt idx="1">
                  <c:v>0.33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0.22500000000000001</c:v>
                </c:pt>
                <c:pt idx="5">
                  <c:v>0.17399999999999999</c:v>
                </c:pt>
                <c:pt idx="6">
                  <c:v>0.17699999999999999</c:v>
                </c:pt>
                <c:pt idx="7">
                  <c:v>9.3000000000000013E-2</c:v>
                </c:pt>
                <c:pt idx="8">
                  <c:v>0.04</c:v>
                </c:pt>
                <c:pt idx="9">
                  <c:v>9.4E-2</c:v>
                </c:pt>
                <c:pt idx="10">
                  <c:v>0.13800000000000001</c:v>
                </c:pt>
                <c:pt idx="11">
                  <c:v>0.09</c:v>
                </c:pt>
                <c:pt idx="12">
                  <c:v>0.04</c:v>
                </c:pt>
                <c:pt idx="13">
                  <c:v>6.7000000000000004E-2</c:v>
                </c:pt>
                <c:pt idx="14">
                  <c:v>0.08</c:v>
                </c:pt>
                <c:pt idx="15">
                  <c:v>0.03</c:v>
                </c:pt>
                <c:pt idx="16">
                  <c:v>-0.01</c:v>
                </c:pt>
                <c:pt idx="17">
                  <c:v>0.27</c:v>
                </c:pt>
                <c:pt idx="18">
                  <c:v>0.33</c:v>
                </c:pt>
                <c:pt idx="19">
                  <c:v>0.28000000000000003</c:v>
                </c:pt>
                <c:pt idx="20">
                  <c:v>0.21899999999999997</c:v>
                </c:pt>
                <c:pt idx="21">
                  <c:v>0.19</c:v>
                </c:pt>
                <c:pt idx="22">
                  <c:v>0.15</c:v>
                </c:pt>
                <c:pt idx="23">
                  <c:v>9.3000000000000013E-2</c:v>
                </c:pt>
                <c:pt idx="24">
                  <c:v>0.16</c:v>
                </c:pt>
                <c:pt idx="25">
                  <c:v>0.191</c:v>
                </c:pt>
                <c:pt idx="26">
                  <c:v>0.18</c:v>
                </c:pt>
                <c:pt idx="27">
                  <c:v>0.09</c:v>
                </c:pt>
                <c:pt idx="28">
                  <c:v>0.03</c:v>
                </c:pt>
                <c:pt idx="29">
                  <c:v>0.04</c:v>
                </c:pt>
                <c:pt idx="30">
                  <c:v>0.02</c:v>
                </c:pt>
                <c:pt idx="31">
                  <c:v>-0.06</c:v>
                </c:pt>
                <c:pt idx="32">
                  <c:v>-0.01</c:v>
                </c:pt>
                <c:pt idx="33">
                  <c:v>0.03</c:v>
                </c:pt>
                <c:pt idx="34">
                  <c:v>0.06</c:v>
                </c:pt>
                <c:pt idx="35">
                  <c:v>0.05</c:v>
                </c:pt>
                <c:pt idx="36">
                  <c:v>-0.1</c:v>
                </c:pt>
                <c:pt idx="37">
                  <c:v>-0.08</c:v>
                </c:pt>
                <c:pt idx="38">
                  <c:v>-0.09</c:v>
                </c:pt>
                <c:pt idx="39">
                  <c:v>-0.01</c:v>
                </c:pt>
                <c:pt idx="40">
                  <c:v>-0.08</c:v>
                </c:pt>
                <c:pt idx="41">
                  <c:v>-0.03</c:v>
                </c:pt>
                <c:pt idx="42">
                  <c:v>0.04</c:v>
                </c:pt>
                <c:pt idx="43">
                  <c:v>0.02</c:v>
                </c:pt>
                <c:pt idx="44">
                  <c:v>0.09</c:v>
                </c:pt>
                <c:pt idx="45">
                  <c:v>3.2000000000000001E-2</c:v>
                </c:pt>
                <c:pt idx="46">
                  <c:v>0.04</c:v>
                </c:pt>
                <c:pt idx="47">
                  <c:v>0.05</c:v>
                </c:pt>
                <c:pt idx="48">
                  <c:v>0.02</c:v>
                </c:pt>
                <c:pt idx="49">
                  <c:v>-2.4E-2</c:v>
                </c:pt>
                <c:pt idx="50">
                  <c:v>-0.02</c:v>
                </c:pt>
                <c:pt idx="51">
                  <c:v>-7.0000000000000007E-2</c:v>
                </c:pt>
                <c:pt idx="52">
                  <c:v>-0.04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A-46CD-BD3C-C85AAE51C742}"/>
            </c:ext>
          </c:extLst>
        </c:ser>
        <c:ser>
          <c:idx val="4"/>
          <c:order val="1"/>
          <c:tx>
            <c:strRef>
              <c:f>Time!$AJ$11</c:f>
              <c:strCache>
                <c:ptCount val="1"/>
                <c:pt idx="0">
                  <c:v>Seymour</c:v>
                </c:pt>
              </c:strCache>
            </c:strRef>
          </c:tx>
          <c:spPr>
            <a:ln w="635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Time!$AH$12:$AH$64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Time!$AJ$12:$AJ$64</c:f>
              <c:numCache>
                <c:formatCode>0%</c:formatCode>
                <c:ptCount val="53"/>
                <c:pt idx="0">
                  <c:v>-0.17100000000000001</c:v>
                </c:pt>
                <c:pt idx="1">
                  <c:v>-4.9000000000000002E-2</c:v>
                </c:pt>
                <c:pt idx="2">
                  <c:v>0.03</c:v>
                </c:pt>
                <c:pt idx="3">
                  <c:v>3.5000000000000003E-2</c:v>
                </c:pt>
                <c:pt idx="4">
                  <c:v>2.5999999999999999E-2</c:v>
                </c:pt>
                <c:pt idx="5">
                  <c:v>-8.5000000000000006E-2</c:v>
                </c:pt>
                <c:pt idx="6">
                  <c:v>-0.14000000000000001</c:v>
                </c:pt>
                <c:pt idx="7">
                  <c:v>-9.1999999999999998E-2</c:v>
                </c:pt>
                <c:pt idx="8">
                  <c:v>-8.6999999999999994E-2</c:v>
                </c:pt>
                <c:pt idx="9">
                  <c:v>-5.9000000000000004E-2</c:v>
                </c:pt>
                <c:pt idx="10">
                  <c:v>-7.2999999999999995E-2</c:v>
                </c:pt>
                <c:pt idx="11">
                  <c:v>-7.0000000000000007E-2</c:v>
                </c:pt>
                <c:pt idx="12">
                  <c:v>-0.06</c:v>
                </c:pt>
                <c:pt idx="13">
                  <c:v>-6.3E-2</c:v>
                </c:pt>
                <c:pt idx="14">
                  <c:v>-0.11</c:v>
                </c:pt>
                <c:pt idx="15">
                  <c:v>-0.01</c:v>
                </c:pt>
                <c:pt idx="16">
                  <c:v>-0.04</c:v>
                </c:pt>
                <c:pt idx="17">
                  <c:v>-0.11</c:v>
                </c:pt>
                <c:pt idx="18">
                  <c:v>0.01</c:v>
                </c:pt>
                <c:pt idx="19">
                  <c:v>-0.06</c:v>
                </c:pt>
                <c:pt idx="20">
                  <c:v>-0.111</c:v>
                </c:pt>
                <c:pt idx="21">
                  <c:v>-0.04</c:v>
                </c:pt>
                <c:pt idx="22">
                  <c:v>-0.02</c:v>
                </c:pt>
                <c:pt idx="23">
                  <c:v>-0.08</c:v>
                </c:pt>
                <c:pt idx="24">
                  <c:v>-0.13</c:v>
                </c:pt>
                <c:pt idx="25">
                  <c:v>-0.222</c:v>
                </c:pt>
                <c:pt idx="26">
                  <c:v>-0.14000000000000001</c:v>
                </c:pt>
                <c:pt idx="27">
                  <c:v>-0.19</c:v>
                </c:pt>
                <c:pt idx="28">
                  <c:v>-0.14000000000000001</c:v>
                </c:pt>
                <c:pt idx="29">
                  <c:v>-0.08</c:v>
                </c:pt>
                <c:pt idx="30">
                  <c:v>-0.08</c:v>
                </c:pt>
                <c:pt idx="31">
                  <c:v>-0.11</c:v>
                </c:pt>
                <c:pt idx="32">
                  <c:v>-7.0000000000000007E-2</c:v>
                </c:pt>
                <c:pt idx="33">
                  <c:v>-0.18</c:v>
                </c:pt>
                <c:pt idx="34">
                  <c:v>-0.04</c:v>
                </c:pt>
                <c:pt idx="35">
                  <c:v>-0.1</c:v>
                </c:pt>
                <c:pt idx="36">
                  <c:v>-0.14000000000000001</c:v>
                </c:pt>
                <c:pt idx="37">
                  <c:v>-0.17</c:v>
                </c:pt>
                <c:pt idx="38">
                  <c:v>-0.16</c:v>
                </c:pt>
                <c:pt idx="39">
                  <c:v>-0.16</c:v>
                </c:pt>
                <c:pt idx="40">
                  <c:v>-0.16</c:v>
                </c:pt>
                <c:pt idx="41">
                  <c:v>-0.24</c:v>
                </c:pt>
                <c:pt idx="42">
                  <c:v>-0.28000000000000003</c:v>
                </c:pt>
                <c:pt idx="43">
                  <c:v>-0.18</c:v>
                </c:pt>
                <c:pt idx="44">
                  <c:v>-0.16</c:v>
                </c:pt>
                <c:pt idx="45">
                  <c:v>-0.17600000000000002</c:v>
                </c:pt>
                <c:pt idx="46">
                  <c:v>-0.14000000000000001</c:v>
                </c:pt>
                <c:pt idx="47">
                  <c:v>-0.22</c:v>
                </c:pt>
                <c:pt idx="48">
                  <c:v>-0.19</c:v>
                </c:pt>
                <c:pt idx="49">
                  <c:v>-0.26800000000000002</c:v>
                </c:pt>
                <c:pt idx="50">
                  <c:v>-0.11</c:v>
                </c:pt>
                <c:pt idx="51">
                  <c:v>-0.24</c:v>
                </c:pt>
                <c:pt idx="52">
                  <c:v>-0.24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6CE-49A0-92C1-05BFB2B25390}"/>
            </c:ext>
          </c:extLst>
        </c:ser>
        <c:ser>
          <c:idx val="7"/>
          <c:order val="2"/>
          <c:tx>
            <c:strRef>
              <c:f>Time!$AK$11</c:f>
              <c:strCache>
                <c:ptCount val="1"/>
                <c:pt idx="0">
                  <c:v>Peters</c:v>
                </c:pt>
              </c:strCache>
            </c:strRef>
          </c:tx>
          <c:spPr>
            <a:ln w="635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Time!$AH$12:$AH$64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Time!$AK$12:$AK$64</c:f>
              <c:numCache>
                <c:formatCode>0%</c:formatCode>
                <c:ptCount val="53"/>
                <c:pt idx="25">
                  <c:v>-0.38</c:v>
                </c:pt>
                <c:pt idx="26">
                  <c:v>-0.32</c:v>
                </c:pt>
                <c:pt idx="27">
                  <c:v>-0.36</c:v>
                </c:pt>
                <c:pt idx="28">
                  <c:v>-0.24</c:v>
                </c:pt>
                <c:pt idx="29">
                  <c:v>-0.22</c:v>
                </c:pt>
                <c:pt idx="30">
                  <c:v>-0.12</c:v>
                </c:pt>
                <c:pt idx="31">
                  <c:v>-0.18</c:v>
                </c:pt>
                <c:pt idx="32">
                  <c:v>-0.05</c:v>
                </c:pt>
                <c:pt idx="33">
                  <c:v>-0.19</c:v>
                </c:pt>
                <c:pt idx="34">
                  <c:v>-0.13</c:v>
                </c:pt>
                <c:pt idx="35">
                  <c:v>-0.06</c:v>
                </c:pt>
                <c:pt idx="36">
                  <c:v>-0.09</c:v>
                </c:pt>
                <c:pt idx="37">
                  <c:v>-0.04</c:v>
                </c:pt>
                <c:pt idx="38">
                  <c:v>-0.03</c:v>
                </c:pt>
                <c:pt idx="39">
                  <c:v>-0.12</c:v>
                </c:pt>
                <c:pt idx="40">
                  <c:v>-0.05</c:v>
                </c:pt>
                <c:pt idx="41">
                  <c:v>-0.06</c:v>
                </c:pt>
                <c:pt idx="42">
                  <c:v>-0.01</c:v>
                </c:pt>
                <c:pt idx="43">
                  <c:v>-0.04</c:v>
                </c:pt>
                <c:pt idx="44">
                  <c:v>-0.06</c:v>
                </c:pt>
                <c:pt idx="45">
                  <c:v>0.01</c:v>
                </c:pt>
                <c:pt idx="46">
                  <c:v>0</c:v>
                </c:pt>
                <c:pt idx="47">
                  <c:v>-0.02</c:v>
                </c:pt>
                <c:pt idx="48">
                  <c:v>0.02</c:v>
                </c:pt>
                <c:pt idx="49">
                  <c:v>-3.3000000000000002E-2</c:v>
                </c:pt>
                <c:pt idx="50">
                  <c:v>0.02</c:v>
                </c:pt>
                <c:pt idx="51">
                  <c:v>-0.02</c:v>
                </c:pt>
                <c:pt idx="52">
                  <c:v>-0.06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4B7-475C-B079-0639F13F9432}"/>
            </c:ext>
          </c:extLst>
        </c:ser>
        <c:ser>
          <c:idx val="1"/>
          <c:order val="3"/>
          <c:tx>
            <c:strRef>
              <c:f>Time!$AL$11</c:f>
              <c:strCache>
                <c:ptCount val="1"/>
                <c:pt idx="0">
                  <c:v>Luxon</c:v>
                </c:pt>
              </c:strCache>
            </c:strRef>
          </c:tx>
          <c:spPr>
            <a:ln w="635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Time!$AH$12:$AH$64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Time!$AL$12:$AL$64</c:f>
              <c:numCache>
                <c:formatCode>0%</c:formatCode>
                <c:ptCount val="53"/>
                <c:pt idx="0">
                  <c:v>-0.32700000000000001</c:v>
                </c:pt>
                <c:pt idx="1">
                  <c:v>-0.2</c:v>
                </c:pt>
                <c:pt idx="2">
                  <c:v>-0.06</c:v>
                </c:pt>
                <c:pt idx="3">
                  <c:v>0.15</c:v>
                </c:pt>
                <c:pt idx="4">
                  <c:v>0.05</c:v>
                </c:pt>
                <c:pt idx="5">
                  <c:v>0.13600000000000001</c:v>
                </c:pt>
                <c:pt idx="6">
                  <c:v>5.2000000000000005E-2</c:v>
                </c:pt>
                <c:pt idx="7">
                  <c:v>0.11599999999999999</c:v>
                </c:pt>
                <c:pt idx="8">
                  <c:v>2.3E-2</c:v>
                </c:pt>
                <c:pt idx="9">
                  <c:v>0.109</c:v>
                </c:pt>
                <c:pt idx="10">
                  <c:v>1.2E-2</c:v>
                </c:pt>
                <c:pt idx="11">
                  <c:v>-0.01</c:v>
                </c:pt>
                <c:pt idx="12">
                  <c:v>0</c:v>
                </c:pt>
                <c:pt idx="13">
                  <c:v>8.9999999999999993E-3</c:v>
                </c:pt>
                <c:pt idx="14">
                  <c:v>-0.03</c:v>
                </c:pt>
                <c:pt idx="15">
                  <c:v>0.02</c:v>
                </c:pt>
                <c:pt idx="16">
                  <c:v>-0.01</c:v>
                </c:pt>
                <c:pt idx="17">
                  <c:v>-0.05</c:v>
                </c:pt>
                <c:pt idx="18">
                  <c:v>-0.02</c:v>
                </c:pt>
                <c:pt idx="19">
                  <c:v>-0.06</c:v>
                </c:pt>
                <c:pt idx="20">
                  <c:v>-6.9000000000000006E-2</c:v>
                </c:pt>
                <c:pt idx="21">
                  <c:v>-0.02</c:v>
                </c:pt>
                <c:pt idx="22">
                  <c:v>-0.06</c:v>
                </c:pt>
                <c:pt idx="23">
                  <c:v>-7.2999999999999995E-2</c:v>
                </c:pt>
                <c:pt idx="24">
                  <c:v>-0.04</c:v>
                </c:pt>
                <c:pt idx="25">
                  <c:v>-2.3E-2</c:v>
                </c:pt>
                <c:pt idx="26">
                  <c:v>0.09</c:v>
                </c:pt>
                <c:pt idx="27">
                  <c:v>-0.01</c:v>
                </c:pt>
                <c:pt idx="28">
                  <c:v>0.05</c:v>
                </c:pt>
                <c:pt idx="29">
                  <c:v>0.11</c:v>
                </c:pt>
                <c:pt idx="30">
                  <c:v>-0.05</c:v>
                </c:pt>
                <c:pt idx="31">
                  <c:v>-7.0000000000000007E-2</c:v>
                </c:pt>
                <c:pt idx="32">
                  <c:v>0.08</c:v>
                </c:pt>
                <c:pt idx="33">
                  <c:v>-0.05</c:v>
                </c:pt>
                <c:pt idx="34">
                  <c:v>0.06</c:v>
                </c:pt>
                <c:pt idx="35">
                  <c:v>0.03</c:v>
                </c:pt>
                <c:pt idx="36">
                  <c:v>7.0000000000000007E-2</c:v>
                </c:pt>
                <c:pt idx="37">
                  <c:v>0</c:v>
                </c:pt>
                <c:pt idx="38">
                  <c:v>0.03</c:v>
                </c:pt>
                <c:pt idx="39">
                  <c:v>-0.05</c:v>
                </c:pt>
                <c:pt idx="40">
                  <c:v>-0.09</c:v>
                </c:pt>
                <c:pt idx="41">
                  <c:v>-0.12</c:v>
                </c:pt>
                <c:pt idx="42">
                  <c:v>-0.1</c:v>
                </c:pt>
                <c:pt idx="43">
                  <c:v>-0.06</c:v>
                </c:pt>
                <c:pt idx="44">
                  <c:v>-0.08</c:v>
                </c:pt>
                <c:pt idx="45">
                  <c:v>-8.5999999999999993E-2</c:v>
                </c:pt>
                <c:pt idx="46">
                  <c:v>-0.05</c:v>
                </c:pt>
                <c:pt idx="47">
                  <c:v>-0.12</c:v>
                </c:pt>
                <c:pt idx="48">
                  <c:v>-0.12</c:v>
                </c:pt>
                <c:pt idx="49">
                  <c:v>-0.14400000000000002</c:v>
                </c:pt>
                <c:pt idx="50">
                  <c:v>-0.1</c:v>
                </c:pt>
                <c:pt idx="51">
                  <c:v>-0.13</c:v>
                </c:pt>
                <c:pt idx="52">
                  <c:v>-0.17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0-6C40-AA7D-A15CD97EA7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88665200"/>
        <c:axId val="688665528"/>
        <c:extLst/>
      </c:lineChart>
      <c:dateAx>
        <c:axId val="6886652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65528"/>
        <c:crossesAt val="-0.4"/>
        <c:auto val="1"/>
        <c:lblOffset val="100"/>
        <c:baseTimeUnit val="months"/>
      </c:dateAx>
      <c:valAx>
        <c:axId val="688665528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652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Net Favourability by Current</a:t>
            </a:r>
            <a:r>
              <a:rPr lang="en-US" sz="2400" b="1" baseline="0"/>
              <a:t> Party Vote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'This Month'!$B$212</c:f>
              <c:strCache>
                <c:ptCount val="1"/>
                <c:pt idx="0">
                  <c:v>National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'This Month'!$A$213:$A$218</c:f>
              <c:strCache>
                <c:ptCount val="6"/>
                <c:pt idx="0">
                  <c:v>Hipkins</c:v>
                </c:pt>
                <c:pt idx="1">
                  <c:v>Luxon</c:v>
                </c:pt>
                <c:pt idx="2">
                  <c:v>Seymour</c:v>
                </c:pt>
                <c:pt idx="3">
                  <c:v>Swarbrick</c:v>
                </c:pt>
                <c:pt idx="4">
                  <c:v>Davidson</c:v>
                </c:pt>
                <c:pt idx="5">
                  <c:v>Peters</c:v>
                </c:pt>
              </c:strCache>
            </c:strRef>
          </c:cat>
          <c:val>
            <c:numRef>
              <c:f>'This Month'!$B$213:$B$218</c:f>
              <c:numCache>
                <c:formatCode>0.00%</c:formatCode>
                <c:ptCount val="6"/>
                <c:pt idx="0">
                  <c:v>-0.28000000000000003</c:v>
                </c:pt>
                <c:pt idx="1">
                  <c:v>0.60699999999999998</c:v>
                </c:pt>
                <c:pt idx="2">
                  <c:v>0.185</c:v>
                </c:pt>
                <c:pt idx="3">
                  <c:v>-0.625</c:v>
                </c:pt>
                <c:pt idx="4">
                  <c:v>-0.71099999999999997</c:v>
                </c:pt>
                <c:pt idx="5">
                  <c:v>0.20300000000000001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7-4C8D-96C2-E17E7F2B44CB}"/>
            </c:ext>
          </c:extLst>
        </c:ser>
        <c:ser>
          <c:idx val="1"/>
          <c:order val="1"/>
          <c:tx>
            <c:strRef>
              <c:f>'This Month'!$C$212</c:f>
              <c:strCache>
                <c:ptCount val="1"/>
                <c:pt idx="0">
                  <c:v>Labour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17A7-4C8D-96C2-E17E7F2B44CB}"/>
              </c:ext>
            </c:extLst>
          </c:dPt>
          <c:cat>
            <c:strRef>
              <c:f>'This Month'!$A$213:$A$218</c:f>
              <c:strCache>
                <c:ptCount val="6"/>
                <c:pt idx="0">
                  <c:v>Hipkins</c:v>
                </c:pt>
                <c:pt idx="1">
                  <c:v>Luxon</c:v>
                </c:pt>
                <c:pt idx="2">
                  <c:v>Seymour</c:v>
                </c:pt>
                <c:pt idx="3">
                  <c:v>Swarbrick</c:v>
                </c:pt>
                <c:pt idx="4">
                  <c:v>Davidson</c:v>
                </c:pt>
                <c:pt idx="5">
                  <c:v>Peters</c:v>
                </c:pt>
              </c:strCache>
            </c:strRef>
          </c:cat>
          <c:val>
            <c:numRef>
              <c:f>'This Month'!$C$213:$C$218</c:f>
              <c:numCache>
                <c:formatCode>0.00%</c:formatCode>
                <c:ptCount val="6"/>
                <c:pt idx="0">
                  <c:v>0.44600000000000001</c:v>
                </c:pt>
                <c:pt idx="1">
                  <c:v>-0.7</c:v>
                </c:pt>
                <c:pt idx="2">
                  <c:v>-0.76500000000000001</c:v>
                </c:pt>
                <c:pt idx="3">
                  <c:v>1.6E-2</c:v>
                </c:pt>
                <c:pt idx="4">
                  <c:v>-0.16900000000000001</c:v>
                </c:pt>
                <c:pt idx="5">
                  <c:v>-0.53100000000000003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7-4C8D-96C2-E17E7F2B44CB}"/>
            </c:ext>
          </c:extLst>
        </c:ser>
        <c:ser>
          <c:idx val="2"/>
          <c:order val="2"/>
          <c:tx>
            <c:strRef>
              <c:f>'This Month'!$D$212</c:f>
              <c:strCache>
                <c:ptCount val="1"/>
                <c:pt idx="0">
                  <c:v>TPM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'This Month'!$A$213:$A$218</c:f>
              <c:strCache>
                <c:ptCount val="6"/>
                <c:pt idx="0">
                  <c:v>Hipkins</c:v>
                </c:pt>
                <c:pt idx="1">
                  <c:v>Luxon</c:v>
                </c:pt>
                <c:pt idx="2">
                  <c:v>Seymour</c:v>
                </c:pt>
                <c:pt idx="3">
                  <c:v>Swarbrick</c:v>
                </c:pt>
                <c:pt idx="4">
                  <c:v>Davidson</c:v>
                </c:pt>
                <c:pt idx="5">
                  <c:v>Peters</c:v>
                </c:pt>
              </c:strCache>
            </c:strRef>
          </c:cat>
          <c:val>
            <c:numRef>
              <c:f>'This Month'!$D$213:$D$218</c:f>
              <c:numCache>
                <c:formatCode>0.00%</c:formatCode>
                <c:ptCount val="6"/>
                <c:pt idx="0">
                  <c:v>-8.9999999999999993E-3</c:v>
                </c:pt>
                <c:pt idx="1">
                  <c:v>-0.55600000000000005</c:v>
                </c:pt>
                <c:pt idx="2">
                  <c:v>-0.54900000000000004</c:v>
                </c:pt>
                <c:pt idx="3">
                  <c:v>-3.3000000000000002E-2</c:v>
                </c:pt>
                <c:pt idx="4">
                  <c:v>3.4000000000000002E-2</c:v>
                </c:pt>
                <c:pt idx="5">
                  <c:v>-0.40400000000000003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A7-4C8D-96C2-E17E7F2B44CB}"/>
            </c:ext>
          </c:extLst>
        </c:ser>
        <c:ser>
          <c:idx val="3"/>
          <c:order val="3"/>
          <c:tx>
            <c:strRef>
              <c:f>'This Month'!$E$212</c:f>
              <c:strCache>
                <c:ptCount val="1"/>
                <c:pt idx="0">
                  <c:v>ACT</c:v>
                </c:pt>
              </c:strCache>
            </c:strRef>
          </c:tx>
          <c:spPr>
            <a:solidFill>
              <a:srgbClr val="ED31C9"/>
            </a:solidFill>
            <a:ln>
              <a:noFill/>
            </a:ln>
            <a:effectLst/>
          </c:spPr>
          <c:invertIfNegative val="0"/>
          <c:cat>
            <c:strRef>
              <c:f>'This Month'!$A$213:$A$218</c:f>
              <c:strCache>
                <c:ptCount val="6"/>
                <c:pt idx="0">
                  <c:v>Hipkins</c:v>
                </c:pt>
                <c:pt idx="1">
                  <c:v>Luxon</c:v>
                </c:pt>
                <c:pt idx="2">
                  <c:v>Seymour</c:v>
                </c:pt>
                <c:pt idx="3">
                  <c:v>Swarbrick</c:v>
                </c:pt>
                <c:pt idx="4">
                  <c:v>Davidson</c:v>
                </c:pt>
                <c:pt idx="5">
                  <c:v>Peters</c:v>
                </c:pt>
              </c:strCache>
            </c:strRef>
          </c:cat>
          <c:val>
            <c:numRef>
              <c:f>'This Month'!$E$213:$E$218</c:f>
              <c:numCache>
                <c:formatCode>0.00%</c:formatCode>
                <c:ptCount val="6"/>
                <c:pt idx="0">
                  <c:v>-0.52900000000000003</c:v>
                </c:pt>
                <c:pt idx="1">
                  <c:v>-6.3E-2</c:v>
                </c:pt>
                <c:pt idx="2">
                  <c:v>0.56799999999999995</c:v>
                </c:pt>
                <c:pt idx="3">
                  <c:v>-0.76300000000000001</c:v>
                </c:pt>
                <c:pt idx="4">
                  <c:v>-0.70499999999999996</c:v>
                </c:pt>
                <c:pt idx="5">
                  <c:v>0.27600000000000002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A7-4C8D-96C2-E17E7F2B44CB}"/>
            </c:ext>
          </c:extLst>
        </c:ser>
        <c:ser>
          <c:idx val="4"/>
          <c:order val="4"/>
          <c:tx>
            <c:strRef>
              <c:f>'This Month'!$F$212</c:f>
              <c:strCache>
                <c:ptCount val="1"/>
                <c:pt idx="0">
                  <c:v>NZF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'This Month'!$A$213:$A$218</c:f>
              <c:strCache>
                <c:ptCount val="6"/>
                <c:pt idx="0">
                  <c:v>Hipkins</c:v>
                </c:pt>
                <c:pt idx="1">
                  <c:v>Luxon</c:v>
                </c:pt>
                <c:pt idx="2">
                  <c:v>Seymour</c:v>
                </c:pt>
                <c:pt idx="3">
                  <c:v>Swarbrick</c:v>
                </c:pt>
                <c:pt idx="4">
                  <c:v>Davidson</c:v>
                </c:pt>
                <c:pt idx="5">
                  <c:v>Peters</c:v>
                </c:pt>
              </c:strCache>
            </c:strRef>
          </c:cat>
          <c:val>
            <c:numRef>
              <c:f>'This Month'!$F$213:$F$218</c:f>
              <c:numCache>
                <c:formatCode>0.00%</c:formatCode>
                <c:ptCount val="6"/>
                <c:pt idx="0">
                  <c:v>-0.49199999999999999</c:v>
                </c:pt>
                <c:pt idx="1">
                  <c:v>-0.41499999999999998</c:v>
                </c:pt>
                <c:pt idx="2">
                  <c:v>-0.47099999999999997</c:v>
                </c:pt>
                <c:pt idx="3">
                  <c:v>-0.70599999999999996</c:v>
                </c:pt>
                <c:pt idx="4">
                  <c:v>-0.66400000000000003</c:v>
                </c:pt>
                <c:pt idx="5">
                  <c:v>0.48199999999999998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DB-3A4B-A4E1-C48AE2003BEF}"/>
            </c:ext>
          </c:extLst>
        </c:ser>
        <c:ser>
          <c:idx val="5"/>
          <c:order val="5"/>
          <c:tx>
            <c:strRef>
              <c:f>'This Month'!$G$212</c:f>
              <c:strCache>
                <c:ptCount val="1"/>
                <c:pt idx="0">
                  <c:v>Greens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'This Month'!$A$213:$A$218</c:f>
              <c:strCache>
                <c:ptCount val="6"/>
                <c:pt idx="0">
                  <c:v>Hipkins</c:v>
                </c:pt>
                <c:pt idx="1">
                  <c:v>Luxon</c:v>
                </c:pt>
                <c:pt idx="2">
                  <c:v>Seymour</c:v>
                </c:pt>
                <c:pt idx="3">
                  <c:v>Swarbrick</c:v>
                </c:pt>
                <c:pt idx="4">
                  <c:v>Davidson</c:v>
                </c:pt>
                <c:pt idx="5">
                  <c:v>Peters</c:v>
                </c:pt>
              </c:strCache>
            </c:strRef>
          </c:cat>
          <c:val>
            <c:numRef>
              <c:f>'This Month'!$G$213:$G$218</c:f>
              <c:numCache>
                <c:formatCode>0.00%</c:formatCode>
                <c:ptCount val="6"/>
                <c:pt idx="0">
                  <c:v>0.251</c:v>
                </c:pt>
                <c:pt idx="1">
                  <c:v>-0.83799999999999997</c:v>
                </c:pt>
                <c:pt idx="2">
                  <c:v>-0.78200000000000003</c:v>
                </c:pt>
                <c:pt idx="3">
                  <c:v>0.68899999999999995</c:v>
                </c:pt>
                <c:pt idx="4">
                  <c:v>0.27800000000000002</c:v>
                </c:pt>
                <c:pt idx="5">
                  <c:v>-0.69699999999999995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DB-3A4B-A4E1-C48AE200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100048"/>
        <c:axId val="668101032"/>
      </c:barChart>
      <c:catAx>
        <c:axId val="66810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101032"/>
        <c:crosses val="autoZero"/>
        <c:auto val="1"/>
        <c:lblAlgn val="ctr"/>
        <c:lblOffset val="100"/>
        <c:noMultiLvlLbl val="0"/>
      </c:catAx>
      <c:valAx>
        <c:axId val="668101032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10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Country Direction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Time!$N$3</c:f>
              <c:strCache>
                <c:ptCount val="1"/>
                <c:pt idx="0">
                  <c:v>Right</c:v>
                </c:pt>
              </c:strCache>
            </c:strRef>
          </c:tx>
          <c:spPr>
            <a:solidFill>
              <a:schemeClr val="accent1"/>
            </a:solidFill>
            <a:ln w="63500"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Time!$M$4:$M$64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Time!$N$4:$N$64</c:f>
              <c:numCache>
                <c:formatCode>0%</c:formatCode>
                <c:ptCount val="61"/>
                <c:pt idx="0">
                  <c:v>0.72</c:v>
                </c:pt>
                <c:pt idx="1">
                  <c:v>0.71</c:v>
                </c:pt>
                <c:pt idx="2">
                  <c:v>0.63</c:v>
                </c:pt>
                <c:pt idx="3">
                  <c:v>0.64</c:v>
                </c:pt>
                <c:pt idx="4">
                  <c:v>0.63</c:v>
                </c:pt>
                <c:pt idx="5">
                  <c:v>0.58000000000000007</c:v>
                </c:pt>
                <c:pt idx="6">
                  <c:v>0.55999999999999994</c:v>
                </c:pt>
                <c:pt idx="7">
                  <c:v>0.52500000000000002</c:v>
                </c:pt>
                <c:pt idx="8">
                  <c:v>0.51900000000000002</c:v>
                </c:pt>
                <c:pt idx="9">
                  <c:v>0.51300000000000001</c:v>
                </c:pt>
                <c:pt idx="10">
                  <c:v>0.44</c:v>
                </c:pt>
                <c:pt idx="11">
                  <c:v>0.45899999999999996</c:v>
                </c:pt>
                <c:pt idx="12">
                  <c:v>0.51800000000000002</c:v>
                </c:pt>
                <c:pt idx="13">
                  <c:v>0.42899999999999999</c:v>
                </c:pt>
                <c:pt idx="14">
                  <c:v>0.40699999999999997</c:v>
                </c:pt>
                <c:pt idx="15">
                  <c:v>0.41199999999999998</c:v>
                </c:pt>
                <c:pt idx="16">
                  <c:v>0.33799999999999997</c:v>
                </c:pt>
                <c:pt idx="17">
                  <c:v>0.35600000000000004</c:v>
                </c:pt>
                <c:pt idx="18">
                  <c:v>0.38299999999999995</c:v>
                </c:pt>
                <c:pt idx="19">
                  <c:v>0.34799999999999998</c:v>
                </c:pt>
                <c:pt idx="20">
                  <c:v>0.318</c:v>
                </c:pt>
                <c:pt idx="21">
                  <c:v>0.28699999999999998</c:v>
                </c:pt>
                <c:pt idx="22">
                  <c:v>0.35399999999999998</c:v>
                </c:pt>
                <c:pt idx="23">
                  <c:v>0.30599999999999999</c:v>
                </c:pt>
                <c:pt idx="24">
                  <c:v>0.32500000000000001</c:v>
                </c:pt>
                <c:pt idx="25">
                  <c:v>0.33600000000000002</c:v>
                </c:pt>
                <c:pt idx="26">
                  <c:v>0.30599999999999999</c:v>
                </c:pt>
                <c:pt idx="27">
                  <c:v>0.30599999999999999</c:v>
                </c:pt>
                <c:pt idx="28">
                  <c:v>0.27800000000000002</c:v>
                </c:pt>
                <c:pt idx="29">
                  <c:v>0.248</c:v>
                </c:pt>
                <c:pt idx="30">
                  <c:v>0.221</c:v>
                </c:pt>
                <c:pt idx="31">
                  <c:v>0.24399999999999999</c:v>
                </c:pt>
                <c:pt idx="32">
                  <c:v>0.24299999999999999</c:v>
                </c:pt>
                <c:pt idx="33">
                  <c:v>0.28300000000000003</c:v>
                </c:pt>
                <c:pt idx="34">
                  <c:v>0.28600000000000003</c:v>
                </c:pt>
                <c:pt idx="35">
                  <c:v>0.30599999999999999</c:v>
                </c:pt>
                <c:pt idx="36">
                  <c:v>0.41399999999999998</c:v>
                </c:pt>
                <c:pt idx="37">
                  <c:v>0.436</c:v>
                </c:pt>
                <c:pt idx="38">
                  <c:v>0.43</c:v>
                </c:pt>
                <c:pt idx="39">
                  <c:v>0.38900000000000001</c:v>
                </c:pt>
                <c:pt idx="40">
                  <c:v>0.45100000000000001</c:v>
                </c:pt>
                <c:pt idx="41">
                  <c:v>0.43200000000000005</c:v>
                </c:pt>
                <c:pt idx="42">
                  <c:v>0.46700000000000003</c:v>
                </c:pt>
                <c:pt idx="43">
                  <c:v>0.45700000000000002</c:v>
                </c:pt>
                <c:pt idx="44">
                  <c:v>0.46700000000000003</c:v>
                </c:pt>
                <c:pt idx="45">
                  <c:v>0.42599999999999999</c:v>
                </c:pt>
                <c:pt idx="46">
                  <c:v>0.45399999999999996</c:v>
                </c:pt>
                <c:pt idx="47">
                  <c:v>0.45200000000000001</c:v>
                </c:pt>
                <c:pt idx="48">
                  <c:v>0.38700000000000001</c:v>
                </c:pt>
                <c:pt idx="49">
                  <c:v>0.34200000000000003</c:v>
                </c:pt>
                <c:pt idx="50">
                  <c:v>0.35600000000000004</c:v>
                </c:pt>
                <c:pt idx="51">
                  <c:v>0.41799999999999998</c:v>
                </c:pt>
                <c:pt idx="52">
                  <c:v>0.33299999999999996</c:v>
                </c:pt>
                <c:pt idx="53">
                  <c:v>0.39600000000000002</c:v>
                </c:pt>
                <c:pt idx="54">
                  <c:v>0.38400000000000001</c:v>
                </c:pt>
                <c:pt idx="55">
                  <c:v>0.33600000000000002</c:v>
                </c:pt>
                <c:pt idx="56">
                  <c:v>0.35100000000000003</c:v>
                </c:pt>
                <c:pt idx="57">
                  <c:v>0.35799999999999998</c:v>
                </c:pt>
                <c:pt idx="58">
                  <c:v>0.379</c:v>
                </c:pt>
                <c:pt idx="59">
                  <c:v>0.38299999999999995</c:v>
                </c:pt>
                <c:pt idx="60">
                  <c:v>0.32600000000000001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6-4DA6-9F23-DE5F61264EEA}"/>
            </c:ext>
          </c:extLst>
        </c:ser>
        <c:ser>
          <c:idx val="1"/>
          <c:order val="1"/>
          <c:tx>
            <c:strRef>
              <c:f>Time!$O$3</c:f>
              <c:strCache>
                <c:ptCount val="1"/>
                <c:pt idx="0">
                  <c:v>Wrong</c:v>
                </c:pt>
              </c:strCache>
            </c:strRef>
          </c:tx>
          <c:spPr>
            <a:solidFill>
              <a:srgbClr val="FF0000"/>
            </a:solidFill>
            <a:ln w="63500"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Time!$M$4:$M$64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Time!$O$4:$O$64</c:f>
              <c:numCache>
                <c:formatCode>0%</c:formatCode>
                <c:ptCount val="61"/>
                <c:pt idx="0">
                  <c:v>-0.19</c:v>
                </c:pt>
                <c:pt idx="1">
                  <c:v>-0.21</c:v>
                </c:pt>
                <c:pt idx="2">
                  <c:v>-0.27</c:v>
                </c:pt>
                <c:pt idx="3">
                  <c:v>-0.28000000000000003</c:v>
                </c:pt>
                <c:pt idx="4">
                  <c:v>-0.28999999999999998</c:v>
                </c:pt>
                <c:pt idx="5">
                  <c:v>-0.34</c:v>
                </c:pt>
                <c:pt idx="6">
                  <c:v>-0.35</c:v>
                </c:pt>
                <c:pt idx="7">
                  <c:v>-0.38</c:v>
                </c:pt>
                <c:pt idx="8">
                  <c:v>-0.28000000000000003</c:v>
                </c:pt>
                <c:pt idx="9">
                  <c:v>-0.36</c:v>
                </c:pt>
                <c:pt idx="10">
                  <c:v>-0.45</c:v>
                </c:pt>
                <c:pt idx="11">
                  <c:v>-0.42</c:v>
                </c:pt>
                <c:pt idx="12">
                  <c:v>-0.37</c:v>
                </c:pt>
                <c:pt idx="13">
                  <c:v>-0.42</c:v>
                </c:pt>
                <c:pt idx="14">
                  <c:v>-0.45</c:v>
                </c:pt>
                <c:pt idx="15">
                  <c:v>-0.43</c:v>
                </c:pt>
                <c:pt idx="16">
                  <c:v>-0.48</c:v>
                </c:pt>
                <c:pt idx="17">
                  <c:v>-0.5</c:v>
                </c:pt>
                <c:pt idx="18">
                  <c:v>-0.47799999999999998</c:v>
                </c:pt>
                <c:pt idx="19">
                  <c:v>-0.47799999999999998</c:v>
                </c:pt>
                <c:pt idx="20">
                  <c:v>-0.54300000000000004</c:v>
                </c:pt>
                <c:pt idx="21">
                  <c:v>-0.56299999999999994</c:v>
                </c:pt>
                <c:pt idx="22">
                  <c:v>-0.52</c:v>
                </c:pt>
                <c:pt idx="23">
                  <c:v>-0.54400000000000004</c:v>
                </c:pt>
                <c:pt idx="24">
                  <c:v>-0.52500000000000002</c:v>
                </c:pt>
                <c:pt idx="25">
                  <c:v>-0.51</c:v>
                </c:pt>
                <c:pt idx="26">
                  <c:v>-0.51600000000000001</c:v>
                </c:pt>
                <c:pt idx="27">
                  <c:v>-0.53799999999999992</c:v>
                </c:pt>
                <c:pt idx="28">
                  <c:v>-0.56399999999999995</c:v>
                </c:pt>
                <c:pt idx="29">
                  <c:v>-0.57399999999999995</c:v>
                </c:pt>
                <c:pt idx="30">
                  <c:v>-0.64500000000000002</c:v>
                </c:pt>
                <c:pt idx="31">
                  <c:v>-0.60499999999999998</c:v>
                </c:pt>
                <c:pt idx="32">
                  <c:v>-0.60299999999999998</c:v>
                </c:pt>
                <c:pt idx="33">
                  <c:v>-0.58700000000000008</c:v>
                </c:pt>
                <c:pt idx="34">
                  <c:v>-0.48899999999999999</c:v>
                </c:pt>
                <c:pt idx="35">
                  <c:v>-0.498</c:v>
                </c:pt>
                <c:pt idx="36">
                  <c:v>-0.37799999999999995</c:v>
                </c:pt>
                <c:pt idx="37">
                  <c:v>-0.40699999999999997</c:v>
                </c:pt>
                <c:pt idx="38">
                  <c:v>-0.46</c:v>
                </c:pt>
                <c:pt idx="39">
                  <c:v>-0.47899999999999998</c:v>
                </c:pt>
                <c:pt idx="40">
                  <c:v>-0.42599999999999999</c:v>
                </c:pt>
                <c:pt idx="41">
                  <c:v>-0.42700000000000005</c:v>
                </c:pt>
                <c:pt idx="42">
                  <c:v>-0.41799999999999998</c:v>
                </c:pt>
                <c:pt idx="43">
                  <c:v>-0.38400000000000001</c:v>
                </c:pt>
                <c:pt idx="44">
                  <c:v>-0.39200000000000002</c:v>
                </c:pt>
                <c:pt idx="45">
                  <c:v>-0.41699999999999998</c:v>
                </c:pt>
                <c:pt idx="46">
                  <c:v>-0.43</c:v>
                </c:pt>
                <c:pt idx="47">
                  <c:v>-0.41899999999999998</c:v>
                </c:pt>
                <c:pt idx="48">
                  <c:v>-0.52700000000000002</c:v>
                </c:pt>
                <c:pt idx="49">
                  <c:v>-0.5</c:v>
                </c:pt>
                <c:pt idx="50">
                  <c:v>-0.48899999999999999</c:v>
                </c:pt>
                <c:pt idx="51">
                  <c:v>-0.442</c:v>
                </c:pt>
                <c:pt idx="52">
                  <c:v>-0.46</c:v>
                </c:pt>
                <c:pt idx="53" formatCode="0.00%">
                  <c:v>-0.47599999999999998</c:v>
                </c:pt>
                <c:pt idx="54">
                  <c:v>-0.47399999999999998</c:v>
                </c:pt>
                <c:pt idx="55">
                  <c:v>-0.54300000000000004</c:v>
                </c:pt>
                <c:pt idx="56">
                  <c:v>-0.51600000000000001</c:v>
                </c:pt>
                <c:pt idx="57">
                  <c:v>-0.50800000000000001</c:v>
                </c:pt>
                <c:pt idx="58">
                  <c:v>-0.439</c:v>
                </c:pt>
                <c:pt idx="59">
                  <c:v>-0.44900000000000001</c:v>
                </c:pt>
                <c:pt idx="60">
                  <c:v>-0.49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96-4DA6-9F23-DE5F61264E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9221480"/>
        <c:axId val="719225088"/>
      </c:barChart>
      <c:lineChart>
        <c:grouping val="standard"/>
        <c:varyColors val="0"/>
        <c:ser>
          <c:idx val="2"/>
          <c:order val="2"/>
          <c:tx>
            <c:strRef>
              <c:f>Time!$P$3</c:f>
              <c:strCache>
                <c:ptCount val="1"/>
                <c:pt idx="0">
                  <c:v>Net</c:v>
                </c:pt>
              </c:strCache>
            </c:strRef>
          </c:tx>
          <c:spPr>
            <a:ln w="635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92D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Time!$M$4:$M$64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Time!$P$4:$P$64</c:f>
              <c:numCache>
                <c:formatCode>0%</c:formatCode>
                <c:ptCount val="61"/>
                <c:pt idx="0">
                  <c:v>0.53</c:v>
                </c:pt>
                <c:pt idx="1">
                  <c:v>0.5</c:v>
                </c:pt>
                <c:pt idx="2">
                  <c:v>0.36</c:v>
                </c:pt>
                <c:pt idx="3">
                  <c:v>0.36</c:v>
                </c:pt>
                <c:pt idx="4">
                  <c:v>0.34</c:v>
                </c:pt>
                <c:pt idx="5">
                  <c:v>0.24</c:v>
                </c:pt>
                <c:pt idx="6">
                  <c:v>0.21</c:v>
                </c:pt>
                <c:pt idx="7">
                  <c:v>0.14500000000000002</c:v>
                </c:pt>
                <c:pt idx="8">
                  <c:v>0.23899999999999999</c:v>
                </c:pt>
                <c:pt idx="9">
                  <c:v>0.15300000000000002</c:v>
                </c:pt>
                <c:pt idx="10">
                  <c:v>-1.0000000000000009E-2</c:v>
                </c:pt>
                <c:pt idx="11">
                  <c:v>3.8999999999999979E-2</c:v>
                </c:pt>
                <c:pt idx="12">
                  <c:v>0.14800000000000002</c:v>
                </c:pt>
                <c:pt idx="13">
                  <c:v>9.000000000000008E-3</c:v>
                </c:pt>
                <c:pt idx="14">
                  <c:v>-4.3000000000000038E-2</c:v>
                </c:pt>
                <c:pt idx="15">
                  <c:v>-1.8000000000000016E-2</c:v>
                </c:pt>
                <c:pt idx="16">
                  <c:v>-0.14200000000000002</c:v>
                </c:pt>
                <c:pt idx="17">
                  <c:v>-0.14399999999999996</c:v>
                </c:pt>
                <c:pt idx="18">
                  <c:v>-9.5000000000000029E-2</c:v>
                </c:pt>
                <c:pt idx="19">
                  <c:v>-0.13</c:v>
                </c:pt>
                <c:pt idx="20">
                  <c:v>-0.22500000000000003</c:v>
                </c:pt>
                <c:pt idx="21">
                  <c:v>-0.27599999999999997</c:v>
                </c:pt>
                <c:pt idx="22">
                  <c:v>-0.16600000000000004</c:v>
                </c:pt>
                <c:pt idx="23">
                  <c:v>-0.23800000000000004</c:v>
                </c:pt>
                <c:pt idx="24">
                  <c:v>-0.2</c:v>
                </c:pt>
                <c:pt idx="25">
                  <c:v>-0.17399999999999999</c:v>
                </c:pt>
                <c:pt idx="26">
                  <c:v>-0.21000000000000002</c:v>
                </c:pt>
                <c:pt idx="27">
                  <c:v>-0.23199999999999993</c:v>
                </c:pt>
                <c:pt idx="28">
                  <c:v>-0.28599999999999992</c:v>
                </c:pt>
                <c:pt idx="29">
                  <c:v>-0.32599999999999996</c:v>
                </c:pt>
                <c:pt idx="30">
                  <c:v>-0.42400000000000004</c:v>
                </c:pt>
                <c:pt idx="31">
                  <c:v>-0.36099999999999999</c:v>
                </c:pt>
                <c:pt idx="32">
                  <c:v>-0.36</c:v>
                </c:pt>
                <c:pt idx="33">
                  <c:v>-0.30400000000000005</c:v>
                </c:pt>
                <c:pt idx="34">
                  <c:v>-0.20299999999999996</c:v>
                </c:pt>
                <c:pt idx="35">
                  <c:v>-0.192</c:v>
                </c:pt>
                <c:pt idx="36">
                  <c:v>3.6000000000000032E-2</c:v>
                </c:pt>
                <c:pt idx="37">
                  <c:v>2.9000000000000026E-2</c:v>
                </c:pt>
                <c:pt idx="38">
                  <c:v>-3.0000000000000027E-2</c:v>
                </c:pt>
                <c:pt idx="39">
                  <c:v>-8.9999999999999969E-2</c:v>
                </c:pt>
                <c:pt idx="40">
                  <c:v>2.5000000000000022E-2</c:v>
                </c:pt>
                <c:pt idx="41">
                  <c:v>5.0000000000000044E-3</c:v>
                </c:pt>
                <c:pt idx="42">
                  <c:v>4.9000000000000044E-2</c:v>
                </c:pt>
                <c:pt idx="43">
                  <c:v>7.3000000000000009E-2</c:v>
                </c:pt>
                <c:pt idx="44">
                  <c:v>7.5000000000000011E-2</c:v>
                </c:pt>
                <c:pt idx="45">
                  <c:v>9.000000000000008E-3</c:v>
                </c:pt>
                <c:pt idx="46">
                  <c:v>2.3999999999999966E-2</c:v>
                </c:pt>
                <c:pt idx="47">
                  <c:v>3.3000000000000029E-2</c:v>
                </c:pt>
                <c:pt idx="48">
                  <c:v>-0.14000000000000001</c:v>
                </c:pt>
                <c:pt idx="49">
                  <c:v>-0.15799999999999997</c:v>
                </c:pt>
                <c:pt idx="50">
                  <c:v>-0.13299999999999995</c:v>
                </c:pt>
                <c:pt idx="51">
                  <c:v>-2.4000000000000021E-2</c:v>
                </c:pt>
                <c:pt idx="52">
                  <c:v>-0.12700000000000006</c:v>
                </c:pt>
                <c:pt idx="53">
                  <c:v>-7.999999999999996E-2</c:v>
                </c:pt>
                <c:pt idx="54">
                  <c:v>-8.9999999999999969E-2</c:v>
                </c:pt>
                <c:pt idx="55">
                  <c:v>-0.20700000000000002</c:v>
                </c:pt>
                <c:pt idx="56">
                  <c:v>-0.16499999999999998</c:v>
                </c:pt>
                <c:pt idx="57">
                  <c:v>-0.15000000000000002</c:v>
                </c:pt>
                <c:pt idx="58">
                  <c:v>-0.06</c:v>
                </c:pt>
                <c:pt idx="59">
                  <c:v>-6.6000000000000059E-2</c:v>
                </c:pt>
                <c:pt idx="60">
                  <c:v>-0.16399999999999998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3-41A3-98A7-65939CFC4C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19221480"/>
        <c:axId val="719225088"/>
      </c:lineChart>
      <c:dateAx>
        <c:axId val="719221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25088"/>
        <c:crossesAt val="-0.60000000000000009"/>
        <c:auto val="1"/>
        <c:lblOffset val="100"/>
        <c:baseTimeUnit val="months"/>
      </c:dateAx>
      <c:valAx>
        <c:axId val="71922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2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Country Direction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98-45A7-A130-102427D32A0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98-45A7-A130-102427D32A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98-45A7-A130-102427D32A0D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'This Month'!$A$99:$A$101</c:f>
              <c:strCache>
                <c:ptCount val="3"/>
                <c:pt idx="0">
                  <c:v>Right</c:v>
                </c:pt>
                <c:pt idx="1">
                  <c:v>Wrong</c:v>
                </c:pt>
                <c:pt idx="2">
                  <c:v>Unsure</c:v>
                </c:pt>
              </c:strCache>
            </c:strRef>
          </c:cat>
          <c:val>
            <c:numRef>
              <c:f>'This Month'!$B$99:$B$101</c:f>
              <c:numCache>
                <c:formatCode>0.0%</c:formatCode>
                <c:ptCount val="3"/>
                <c:pt idx="0">
                  <c:v>0.32600000000000001</c:v>
                </c:pt>
                <c:pt idx="1">
                  <c:v>0.49</c:v>
                </c:pt>
                <c:pt idx="2">
                  <c:v>0.182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98-45A7-A130-102427D3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Government Approval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FB-7747-BBA4-24C4EA82036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FB-7747-BBA4-24C4EA8203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FB-7747-BBA4-24C4EA82036C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FB-7747-BBA4-24C4EA82036C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4FB-7747-BBA4-24C4EA82036C}"/>
              </c:ext>
            </c:extLst>
          </c:dPt>
          <c:dPt>
            <c:idx val="5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FB-7747-BBA4-24C4EA82036C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'This Month'!$A$105:$A$110</c:f>
              <c:strCache>
                <c:ptCount val="6"/>
                <c:pt idx="0">
                  <c:v>Strongly disapprove</c:v>
                </c:pt>
                <c:pt idx="1">
                  <c:v>Somewhat disapprove</c:v>
                </c:pt>
                <c:pt idx="2">
                  <c:v>Neutral</c:v>
                </c:pt>
                <c:pt idx="3">
                  <c:v>Somewhat approve</c:v>
                </c:pt>
                <c:pt idx="4">
                  <c:v>Strongly approve</c:v>
                </c:pt>
                <c:pt idx="5">
                  <c:v>Unsure</c:v>
                </c:pt>
              </c:strCache>
            </c:strRef>
          </c:cat>
          <c:val>
            <c:numRef>
              <c:f>'This Month'!$B$105:$B$110</c:f>
              <c:numCache>
                <c:formatCode>0.0%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E4FB-7747-BBA4-24C4EA8203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Most important voting Issue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63500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Month'!$G$53:$G$73</c:f>
              <c:strCache>
                <c:ptCount val="21"/>
                <c:pt idx="0">
                  <c:v>Employment</c:v>
                </c:pt>
                <c:pt idx="1">
                  <c:v>Economy</c:v>
                </c:pt>
                <c:pt idx="2">
                  <c:v>Taxes</c:v>
                </c:pt>
                <c:pt idx="3">
                  <c:v>Covid-19</c:v>
                </c:pt>
                <c:pt idx="4">
                  <c:v>Education</c:v>
                </c:pt>
                <c:pt idx="5">
                  <c:v>Law &amp; Order</c:v>
                </c:pt>
                <c:pt idx="6">
                  <c:v>Help families</c:v>
                </c:pt>
                <c:pt idx="7">
                  <c:v>Cost of Living</c:v>
                </c:pt>
                <c:pt idx="8">
                  <c:v>Transport</c:v>
                </c:pt>
                <c:pt idx="9">
                  <c:v>Infrastructure</c:v>
                </c:pt>
                <c:pt idx="10">
                  <c:v>Leaders</c:v>
                </c:pt>
                <c:pt idx="11">
                  <c:v>Policies</c:v>
                </c:pt>
                <c:pt idx="12">
                  <c:v>Environment</c:v>
                </c:pt>
                <c:pt idx="13">
                  <c:v>Maori</c:v>
                </c:pt>
                <c:pt idx="14">
                  <c:v>Immigration</c:v>
                </c:pt>
                <c:pt idx="15">
                  <c:v>Housing</c:v>
                </c:pt>
                <c:pt idx="16">
                  <c:v>Poverty</c:v>
                </c:pt>
                <c:pt idx="17">
                  <c:v>Health</c:v>
                </c:pt>
                <c:pt idx="18">
                  <c:v>Social Division</c:v>
                </c:pt>
                <c:pt idx="19">
                  <c:v>Other</c:v>
                </c:pt>
                <c:pt idx="20">
                  <c:v>Unsure</c:v>
                </c:pt>
              </c:strCache>
            </c:strRef>
          </c:cat>
          <c:val>
            <c:numRef>
              <c:f>'This Month'!$H$53:$H$73</c:f>
              <c:numCache>
                <c:formatCode>0.0%</c:formatCode>
                <c:ptCount val="21"/>
                <c:pt idx="0">
                  <c:v>4.7522750252780584E-2</c:v>
                </c:pt>
                <c:pt idx="1">
                  <c:v>0.14762386248736098</c:v>
                </c:pt>
                <c:pt idx="2">
                  <c:v>2.3255813953488372E-2</c:v>
                </c:pt>
                <c:pt idx="3">
                  <c:v>0</c:v>
                </c:pt>
                <c:pt idx="4">
                  <c:v>2.6289180990899899E-2</c:v>
                </c:pt>
                <c:pt idx="5">
                  <c:v>3.3367037411526794E-2</c:v>
                </c:pt>
                <c:pt idx="6">
                  <c:v>1.9211324570273004E-2</c:v>
                </c:pt>
                <c:pt idx="7">
                  <c:v>0.27502527805864507</c:v>
                </c:pt>
                <c:pt idx="8">
                  <c:v>1.0111223458038423E-3</c:v>
                </c:pt>
                <c:pt idx="9">
                  <c:v>2.0222446916076846E-3</c:v>
                </c:pt>
                <c:pt idx="10">
                  <c:v>1.0111223458038422E-2</c:v>
                </c:pt>
                <c:pt idx="11">
                  <c:v>2.6289180990899899E-2</c:v>
                </c:pt>
                <c:pt idx="12">
                  <c:v>2.6289180990899899E-2</c:v>
                </c:pt>
                <c:pt idx="13">
                  <c:v>3.0333670374115267E-2</c:v>
                </c:pt>
                <c:pt idx="14">
                  <c:v>3.3367037411526794E-2</c:v>
                </c:pt>
                <c:pt idx="15">
                  <c:v>3.3367037411526794E-2</c:v>
                </c:pt>
                <c:pt idx="16">
                  <c:v>3.6400404448938321E-2</c:v>
                </c:pt>
                <c:pt idx="17">
                  <c:v>8.7967644084934279E-2</c:v>
                </c:pt>
                <c:pt idx="18">
                  <c:v>1.5166835187057633E-2</c:v>
                </c:pt>
                <c:pt idx="19">
                  <c:v>4.2467138523761376E-2</c:v>
                </c:pt>
                <c:pt idx="20">
                  <c:v>8.2912032355915072E-2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B-47AA-8AC2-77BAB75BA9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88432184"/>
        <c:axId val="688426608"/>
      </c:barChart>
      <c:catAx>
        <c:axId val="688432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6608"/>
        <c:crosses val="autoZero"/>
        <c:auto val="1"/>
        <c:lblAlgn val="ctr"/>
        <c:lblOffset val="100"/>
        <c:noMultiLvlLbl val="0"/>
      </c:catAx>
      <c:valAx>
        <c:axId val="68842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3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 voting issues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'This Month'!$H$52</c:f>
              <c:strCache>
                <c:ptCount val="1"/>
                <c:pt idx="0">
                  <c:v>Top</c:v>
                </c:pt>
              </c:strCache>
            </c:strRef>
          </c:tx>
          <c:spPr>
            <a:solidFill>
              <a:schemeClr val="accent1"/>
            </a:solidFill>
            <a:ln w="63500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Month'!$G$53:$G$73</c:f>
              <c:strCache>
                <c:ptCount val="21"/>
                <c:pt idx="0">
                  <c:v>Employment</c:v>
                </c:pt>
                <c:pt idx="1">
                  <c:v>Economy</c:v>
                </c:pt>
                <c:pt idx="2">
                  <c:v>Taxes</c:v>
                </c:pt>
                <c:pt idx="3">
                  <c:v>Covid-19</c:v>
                </c:pt>
                <c:pt idx="4">
                  <c:v>Education</c:v>
                </c:pt>
                <c:pt idx="5">
                  <c:v>Law &amp; Order</c:v>
                </c:pt>
                <c:pt idx="6">
                  <c:v>Help families</c:v>
                </c:pt>
                <c:pt idx="7">
                  <c:v>Cost of Living</c:v>
                </c:pt>
                <c:pt idx="8">
                  <c:v>Transport</c:v>
                </c:pt>
                <c:pt idx="9">
                  <c:v>Infrastructure</c:v>
                </c:pt>
                <c:pt idx="10">
                  <c:v>Leaders</c:v>
                </c:pt>
                <c:pt idx="11">
                  <c:v>Policies</c:v>
                </c:pt>
                <c:pt idx="12">
                  <c:v>Environment</c:v>
                </c:pt>
                <c:pt idx="13">
                  <c:v>Maori</c:v>
                </c:pt>
                <c:pt idx="14">
                  <c:v>Immigration</c:v>
                </c:pt>
                <c:pt idx="15">
                  <c:v>Housing</c:v>
                </c:pt>
                <c:pt idx="16">
                  <c:v>Poverty</c:v>
                </c:pt>
                <c:pt idx="17">
                  <c:v>Health</c:v>
                </c:pt>
                <c:pt idx="18">
                  <c:v>Social Division</c:v>
                </c:pt>
                <c:pt idx="19">
                  <c:v>Other</c:v>
                </c:pt>
                <c:pt idx="20">
                  <c:v>Unsure</c:v>
                </c:pt>
              </c:strCache>
            </c:strRef>
          </c:cat>
          <c:val>
            <c:numRef>
              <c:f>'This Month'!$H$53:$H$73</c:f>
              <c:numCache>
                <c:formatCode>0.0%</c:formatCode>
                <c:ptCount val="21"/>
                <c:pt idx="0">
                  <c:v>4.7522750252780584E-2</c:v>
                </c:pt>
                <c:pt idx="1">
                  <c:v>0.14762386248736098</c:v>
                </c:pt>
                <c:pt idx="2">
                  <c:v>2.3255813953488372E-2</c:v>
                </c:pt>
                <c:pt idx="3">
                  <c:v>0</c:v>
                </c:pt>
                <c:pt idx="4">
                  <c:v>2.6289180990899899E-2</c:v>
                </c:pt>
                <c:pt idx="5">
                  <c:v>3.3367037411526794E-2</c:v>
                </c:pt>
                <c:pt idx="6">
                  <c:v>1.9211324570273004E-2</c:v>
                </c:pt>
                <c:pt idx="7">
                  <c:v>0.27502527805864507</c:v>
                </c:pt>
                <c:pt idx="8">
                  <c:v>1.0111223458038423E-3</c:v>
                </c:pt>
                <c:pt idx="9">
                  <c:v>2.0222446916076846E-3</c:v>
                </c:pt>
                <c:pt idx="10">
                  <c:v>1.0111223458038422E-2</c:v>
                </c:pt>
                <c:pt idx="11">
                  <c:v>2.6289180990899899E-2</c:v>
                </c:pt>
                <c:pt idx="12">
                  <c:v>2.6289180990899899E-2</c:v>
                </c:pt>
                <c:pt idx="13">
                  <c:v>3.0333670374115267E-2</c:v>
                </c:pt>
                <c:pt idx="14">
                  <c:v>3.3367037411526794E-2</c:v>
                </c:pt>
                <c:pt idx="15">
                  <c:v>3.3367037411526794E-2</c:v>
                </c:pt>
                <c:pt idx="16">
                  <c:v>3.6400404448938321E-2</c:v>
                </c:pt>
                <c:pt idx="17">
                  <c:v>8.7967644084934279E-2</c:v>
                </c:pt>
                <c:pt idx="18">
                  <c:v>1.5166835187057633E-2</c:v>
                </c:pt>
                <c:pt idx="19">
                  <c:v>4.2467138523761376E-2</c:v>
                </c:pt>
                <c:pt idx="20">
                  <c:v>8.2912032355915072E-2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2-9F4D-AAC0-13F70FB44F8B}"/>
            </c:ext>
          </c:extLst>
        </c:ser>
        <c:ser>
          <c:idx val="1"/>
          <c:order val="1"/>
          <c:tx>
            <c:strRef>
              <c:f>'This Month'!$I$52</c:f>
              <c:strCache>
                <c:ptCount val="1"/>
                <c:pt idx="0">
                  <c:v>Top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Month'!$G$53:$G$73</c:f>
              <c:strCache>
                <c:ptCount val="21"/>
                <c:pt idx="0">
                  <c:v>Employment</c:v>
                </c:pt>
                <c:pt idx="1">
                  <c:v>Economy</c:v>
                </c:pt>
                <c:pt idx="2">
                  <c:v>Taxes</c:v>
                </c:pt>
                <c:pt idx="3">
                  <c:v>Covid-19</c:v>
                </c:pt>
                <c:pt idx="4">
                  <c:v>Education</c:v>
                </c:pt>
                <c:pt idx="5">
                  <c:v>Law &amp; Order</c:v>
                </c:pt>
                <c:pt idx="6">
                  <c:v>Help families</c:v>
                </c:pt>
                <c:pt idx="7">
                  <c:v>Cost of Living</c:v>
                </c:pt>
                <c:pt idx="8">
                  <c:v>Transport</c:v>
                </c:pt>
                <c:pt idx="9">
                  <c:v>Infrastructure</c:v>
                </c:pt>
                <c:pt idx="10">
                  <c:v>Leaders</c:v>
                </c:pt>
                <c:pt idx="11">
                  <c:v>Policies</c:v>
                </c:pt>
                <c:pt idx="12">
                  <c:v>Environment</c:v>
                </c:pt>
                <c:pt idx="13">
                  <c:v>Maori</c:v>
                </c:pt>
                <c:pt idx="14">
                  <c:v>Immigration</c:v>
                </c:pt>
                <c:pt idx="15">
                  <c:v>Housing</c:v>
                </c:pt>
                <c:pt idx="16">
                  <c:v>Poverty</c:v>
                </c:pt>
                <c:pt idx="17">
                  <c:v>Health</c:v>
                </c:pt>
                <c:pt idx="18">
                  <c:v>Social Division</c:v>
                </c:pt>
                <c:pt idx="19">
                  <c:v>Other</c:v>
                </c:pt>
                <c:pt idx="20">
                  <c:v>Unsure</c:v>
                </c:pt>
              </c:strCache>
            </c:strRef>
          </c:cat>
          <c:val>
            <c:numRef>
              <c:f>'This Month'!$I$53:$I$73</c:f>
              <c:numCache>
                <c:formatCode>0.0%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2B82-9F4D-AAC0-13F70FB44F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88432184"/>
        <c:axId val="688426608"/>
      </c:barChart>
      <c:catAx>
        <c:axId val="688432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6608"/>
        <c:crosses val="autoZero"/>
        <c:auto val="1"/>
        <c:lblAlgn val="ctr"/>
        <c:lblOffset val="100"/>
        <c:noMultiLvlLbl val="0"/>
      </c:catAx>
      <c:valAx>
        <c:axId val="68842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32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Major Voting Issue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Time!$R$11</c:f>
              <c:strCache>
                <c:ptCount val="1"/>
                <c:pt idx="0">
                  <c:v>Economy</c:v>
                </c:pt>
              </c:strCache>
            </c:strRef>
          </c:tx>
          <c:spPr>
            <a:ln w="635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Time!$Q$12:$Q$64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Time!$R$12:$R$64</c:f>
              <c:numCache>
                <c:formatCode>0.0%</c:formatCode>
                <c:ptCount val="53"/>
                <c:pt idx="0">
                  <c:v>0.14699999999999999</c:v>
                </c:pt>
                <c:pt idx="1">
                  <c:v>9.9000000000000005E-2</c:v>
                </c:pt>
                <c:pt idx="2">
                  <c:v>0.13200000000000001</c:v>
                </c:pt>
                <c:pt idx="3">
                  <c:v>0.14299999999999999</c:v>
                </c:pt>
                <c:pt idx="4">
                  <c:v>0.11899999999999999</c:v>
                </c:pt>
                <c:pt idx="5">
                  <c:v>0.16600000000000001</c:v>
                </c:pt>
                <c:pt idx="6">
                  <c:v>0.159</c:v>
                </c:pt>
                <c:pt idx="7">
                  <c:v>0.188</c:v>
                </c:pt>
                <c:pt idx="8">
                  <c:v>0.153</c:v>
                </c:pt>
                <c:pt idx="9">
                  <c:v>0.155</c:v>
                </c:pt>
                <c:pt idx="10">
                  <c:v>0.16600000000000001</c:v>
                </c:pt>
                <c:pt idx="11">
                  <c:v>0.14599999999999999</c:v>
                </c:pt>
                <c:pt idx="12">
                  <c:v>0.15</c:v>
                </c:pt>
                <c:pt idx="13">
                  <c:v>0.13300000000000001</c:v>
                </c:pt>
                <c:pt idx="14">
                  <c:v>9.8000000000000004E-2</c:v>
                </c:pt>
                <c:pt idx="15">
                  <c:v>0.14799999999999999</c:v>
                </c:pt>
                <c:pt idx="16">
                  <c:v>0.188</c:v>
                </c:pt>
                <c:pt idx="17">
                  <c:v>0.13100000000000001</c:v>
                </c:pt>
                <c:pt idx="18">
                  <c:v>9.6000000000000002E-2</c:v>
                </c:pt>
                <c:pt idx="19">
                  <c:v>0.13300000000000001</c:v>
                </c:pt>
                <c:pt idx="20">
                  <c:v>0.14800000000000002</c:v>
                </c:pt>
                <c:pt idx="21">
                  <c:v>9.0999999999999998E-2</c:v>
                </c:pt>
                <c:pt idx="22">
                  <c:v>0.11199999999999999</c:v>
                </c:pt>
                <c:pt idx="23">
                  <c:v>9.3000000000000013E-2</c:v>
                </c:pt>
                <c:pt idx="24">
                  <c:v>0.13800000000000001</c:v>
                </c:pt>
                <c:pt idx="25">
                  <c:v>8.1000000000000003E-2</c:v>
                </c:pt>
                <c:pt idx="26">
                  <c:v>0.13600000000000001</c:v>
                </c:pt>
                <c:pt idx="27">
                  <c:v>0.10800000000000001</c:v>
                </c:pt>
                <c:pt idx="28">
                  <c:v>0.129</c:v>
                </c:pt>
                <c:pt idx="29">
                  <c:v>0.10800000000000001</c:v>
                </c:pt>
                <c:pt idx="30">
                  <c:v>0.19500000000000001</c:v>
                </c:pt>
                <c:pt idx="31">
                  <c:v>0.13100000000000001</c:v>
                </c:pt>
                <c:pt idx="32">
                  <c:v>0.13500000000000001</c:v>
                </c:pt>
                <c:pt idx="33">
                  <c:v>0.122</c:v>
                </c:pt>
                <c:pt idx="34">
                  <c:v>0.17800000000000002</c:v>
                </c:pt>
                <c:pt idx="35">
                  <c:v>0.13300000000000001</c:v>
                </c:pt>
                <c:pt idx="36">
                  <c:v>0.16699999999999998</c:v>
                </c:pt>
                <c:pt idx="37">
                  <c:v>0.19800000000000001</c:v>
                </c:pt>
                <c:pt idx="38">
                  <c:v>0.182</c:v>
                </c:pt>
                <c:pt idx="39">
                  <c:v>0.188</c:v>
                </c:pt>
                <c:pt idx="40">
                  <c:v>0.17499999999999999</c:v>
                </c:pt>
                <c:pt idx="41">
                  <c:v>0.17</c:v>
                </c:pt>
                <c:pt idx="42">
                  <c:v>0.14399999999999999</c:v>
                </c:pt>
                <c:pt idx="43">
                  <c:v>0.151</c:v>
                </c:pt>
                <c:pt idx="44">
                  <c:v>0.16500000000000001</c:v>
                </c:pt>
                <c:pt idx="45">
                  <c:v>0.20199999999999999</c:v>
                </c:pt>
                <c:pt idx="46">
                  <c:v>0.191</c:v>
                </c:pt>
                <c:pt idx="47">
                  <c:v>0.20699999999999999</c:v>
                </c:pt>
                <c:pt idx="48">
                  <c:v>0.161</c:v>
                </c:pt>
                <c:pt idx="49">
                  <c:v>0.17399999999999999</c:v>
                </c:pt>
                <c:pt idx="50">
                  <c:v>0.17600000000000002</c:v>
                </c:pt>
                <c:pt idx="51">
                  <c:v>0.14800000000000002</c:v>
                </c:pt>
                <c:pt idx="52">
                  <c:v>0.14800000000000002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A5-40CB-A21D-44B6AE35C2CD}"/>
            </c:ext>
          </c:extLst>
        </c:ser>
        <c:ser>
          <c:idx val="1"/>
          <c:order val="1"/>
          <c:tx>
            <c:strRef>
              <c:f>Time!$S$11</c:f>
              <c:strCache>
                <c:ptCount val="1"/>
                <c:pt idx="0">
                  <c:v>Cost of Living</c:v>
                </c:pt>
              </c:strCache>
            </c:strRef>
          </c:tx>
          <c:spPr>
            <a:ln w="635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Time!$Q$12:$Q$64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Time!$S$12:$S$64</c:f>
              <c:numCache>
                <c:formatCode>0.0%</c:formatCode>
                <c:ptCount val="53"/>
                <c:pt idx="0">
                  <c:v>0.02</c:v>
                </c:pt>
                <c:pt idx="1">
                  <c:v>0.01</c:v>
                </c:pt>
                <c:pt idx="2">
                  <c:v>0.02</c:v>
                </c:pt>
                <c:pt idx="3">
                  <c:v>0.01</c:v>
                </c:pt>
                <c:pt idx="4">
                  <c:v>0.02</c:v>
                </c:pt>
                <c:pt idx="5">
                  <c:v>0.03</c:v>
                </c:pt>
                <c:pt idx="6">
                  <c:v>7.4999999999999997E-2</c:v>
                </c:pt>
                <c:pt idx="7">
                  <c:v>0.20300000000000001</c:v>
                </c:pt>
                <c:pt idx="8">
                  <c:v>0.25800000000000001</c:v>
                </c:pt>
                <c:pt idx="9">
                  <c:v>0.245</c:v>
                </c:pt>
                <c:pt idx="10">
                  <c:v>0.22500000000000001</c:v>
                </c:pt>
                <c:pt idx="11">
                  <c:v>0.22700000000000001</c:v>
                </c:pt>
                <c:pt idx="12">
                  <c:v>0.219</c:v>
                </c:pt>
                <c:pt idx="13">
                  <c:v>0.24099999999999999</c:v>
                </c:pt>
                <c:pt idx="14">
                  <c:v>0.23400000000000001</c:v>
                </c:pt>
                <c:pt idx="15">
                  <c:v>0.22</c:v>
                </c:pt>
                <c:pt idx="16">
                  <c:v>0.223</c:v>
                </c:pt>
                <c:pt idx="17">
                  <c:v>0.34600000000000003</c:v>
                </c:pt>
                <c:pt idx="18">
                  <c:v>0.29100000000000004</c:v>
                </c:pt>
                <c:pt idx="19">
                  <c:v>0.255</c:v>
                </c:pt>
                <c:pt idx="20">
                  <c:v>0.26500000000000001</c:v>
                </c:pt>
                <c:pt idx="21">
                  <c:v>0.32600000000000001</c:v>
                </c:pt>
                <c:pt idx="22">
                  <c:v>0.31900000000000001</c:v>
                </c:pt>
                <c:pt idx="23">
                  <c:v>0.32299999999999995</c:v>
                </c:pt>
                <c:pt idx="24">
                  <c:v>0.36200000000000004</c:v>
                </c:pt>
                <c:pt idx="25">
                  <c:v>0.35899999999999999</c:v>
                </c:pt>
                <c:pt idx="26">
                  <c:v>0.28100000000000003</c:v>
                </c:pt>
                <c:pt idx="27">
                  <c:v>0.27</c:v>
                </c:pt>
                <c:pt idx="28">
                  <c:v>0.255</c:v>
                </c:pt>
                <c:pt idx="29">
                  <c:v>0.24299999999999999</c:v>
                </c:pt>
                <c:pt idx="30">
                  <c:v>0.255</c:v>
                </c:pt>
                <c:pt idx="31">
                  <c:v>0.27899999999999997</c:v>
                </c:pt>
                <c:pt idx="32">
                  <c:v>0.35100000000000003</c:v>
                </c:pt>
                <c:pt idx="33">
                  <c:v>0.253</c:v>
                </c:pt>
                <c:pt idx="34">
                  <c:v>0.245</c:v>
                </c:pt>
                <c:pt idx="35">
                  <c:v>0.21600000000000003</c:v>
                </c:pt>
                <c:pt idx="36">
                  <c:v>0.23800000000000002</c:v>
                </c:pt>
                <c:pt idx="37">
                  <c:v>0.185</c:v>
                </c:pt>
                <c:pt idx="38">
                  <c:v>0.22800000000000001</c:v>
                </c:pt>
                <c:pt idx="39">
                  <c:v>0.22500000000000001</c:v>
                </c:pt>
                <c:pt idx="40">
                  <c:v>0.223</c:v>
                </c:pt>
                <c:pt idx="41">
                  <c:v>0.245</c:v>
                </c:pt>
                <c:pt idx="42">
                  <c:v>0.23499999999999999</c:v>
                </c:pt>
                <c:pt idx="43">
                  <c:v>0.30499999999999999</c:v>
                </c:pt>
                <c:pt idx="44">
                  <c:v>0.26400000000000001</c:v>
                </c:pt>
                <c:pt idx="45">
                  <c:v>0.18100000000000002</c:v>
                </c:pt>
                <c:pt idx="46">
                  <c:v>0.21600000000000003</c:v>
                </c:pt>
                <c:pt idx="47">
                  <c:v>0.24399999999999999</c:v>
                </c:pt>
                <c:pt idx="48">
                  <c:v>0.27500000000000002</c:v>
                </c:pt>
                <c:pt idx="49">
                  <c:v>0.26400000000000001</c:v>
                </c:pt>
                <c:pt idx="50">
                  <c:v>0.28499999999999998</c:v>
                </c:pt>
                <c:pt idx="51">
                  <c:v>0.32600000000000001</c:v>
                </c:pt>
                <c:pt idx="52">
                  <c:v>0.27500000000000002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A5-40CB-A21D-44B6AE35C2CD}"/>
            </c:ext>
          </c:extLst>
        </c:ser>
        <c:ser>
          <c:idx val="2"/>
          <c:order val="2"/>
          <c:tx>
            <c:strRef>
              <c:f>Time!$T$11</c:f>
              <c:strCache>
                <c:ptCount val="1"/>
                <c:pt idx="0">
                  <c:v>Law &amp; Order</c:v>
                </c:pt>
              </c:strCache>
            </c:strRef>
          </c:tx>
          <c:spPr>
            <a:ln w="635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Time!$Q$12:$Q$64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Time!$T$12:$T$64</c:f>
              <c:numCache>
                <c:formatCode>0.0%</c:formatCode>
                <c:ptCount val="53"/>
                <c:pt idx="0">
                  <c:v>0.03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4.7E-2</c:v>
                </c:pt>
                <c:pt idx="4">
                  <c:v>2.1999999999999999E-2</c:v>
                </c:pt>
                <c:pt idx="5">
                  <c:v>5.0999999999999997E-2</c:v>
                </c:pt>
                <c:pt idx="6">
                  <c:v>5.3999999999999999E-2</c:v>
                </c:pt>
                <c:pt idx="7">
                  <c:v>2.1000000000000001E-2</c:v>
                </c:pt>
                <c:pt idx="8">
                  <c:v>4.0000000000000001E-3</c:v>
                </c:pt>
                <c:pt idx="9">
                  <c:v>6.6000000000000003E-2</c:v>
                </c:pt>
                <c:pt idx="10">
                  <c:v>4.1000000000000002E-2</c:v>
                </c:pt>
                <c:pt idx="11">
                  <c:v>4.4999999999999998E-2</c:v>
                </c:pt>
                <c:pt idx="12">
                  <c:v>5.8000000000000003E-2</c:v>
                </c:pt>
                <c:pt idx="13">
                  <c:v>6.0999999999999999E-2</c:v>
                </c:pt>
                <c:pt idx="14">
                  <c:v>4.8000000000000001E-2</c:v>
                </c:pt>
                <c:pt idx="15">
                  <c:v>6.0999999999999999E-2</c:v>
                </c:pt>
                <c:pt idx="16">
                  <c:v>4.9000000000000002E-2</c:v>
                </c:pt>
                <c:pt idx="17">
                  <c:v>0.05</c:v>
                </c:pt>
                <c:pt idx="18">
                  <c:v>5.5999999999999994E-2</c:v>
                </c:pt>
                <c:pt idx="19">
                  <c:v>3.2000000000000001E-2</c:v>
                </c:pt>
                <c:pt idx="20">
                  <c:v>0.03</c:v>
                </c:pt>
                <c:pt idx="21">
                  <c:v>5.0999999999999997E-2</c:v>
                </c:pt>
                <c:pt idx="22">
                  <c:v>7.8E-2</c:v>
                </c:pt>
                <c:pt idx="23">
                  <c:v>8.1000000000000003E-2</c:v>
                </c:pt>
                <c:pt idx="24">
                  <c:v>5.5999999999999994E-2</c:v>
                </c:pt>
                <c:pt idx="25">
                  <c:v>6.4000000000000001E-2</c:v>
                </c:pt>
                <c:pt idx="26">
                  <c:v>3.4000000000000002E-2</c:v>
                </c:pt>
                <c:pt idx="27">
                  <c:v>4.4999999999999998E-2</c:v>
                </c:pt>
                <c:pt idx="28">
                  <c:v>6.7000000000000004E-2</c:v>
                </c:pt>
                <c:pt idx="29">
                  <c:v>7.2999999999999995E-2</c:v>
                </c:pt>
                <c:pt idx="30">
                  <c:v>4.5999999999999999E-2</c:v>
                </c:pt>
                <c:pt idx="31">
                  <c:v>5.7000000000000002E-2</c:v>
                </c:pt>
                <c:pt idx="32">
                  <c:v>7.4999999999999997E-2</c:v>
                </c:pt>
                <c:pt idx="33">
                  <c:v>7.9000000000000001E-2</c:v>
                </c:pt>
                <c:pt idx="34">
                  <c:v>7.4999999999999997E-2</c:v>
                </c:pt>
                <c:pt idx="35">
                  <c:v>5.4000000000000006E-2</c:v>
                </c:pt>
                <c:pt idx="36">
                  <c:v>7.400000000000001E-2</c:v>
                </c:pt>
                <c:pt idx="37">
                  <c:v>4.4999999999999998E-2</c:v>
                </c:pt>
                <c:pt idx="38">
                  <c:v>7.0999999999999994E-2</c:v>
                </c:pt>
                <c:pt idx="39">
                  <c:v>5.2999999999999999E-2</c:v>
                </c:pt>
                <c:pt idx="40">
                  <c:v>3.6000000000000004E-2</c:v>
                </c:pt>
                <c:pt idx="41">
                  <c:v>2.7000000000000003E-2</c:v>
                </c:pt>
                <c:pt idx="42">
                  <c:v>4.0999999999999995E-2</c:v>
                </c:pt>
                <c:pt idx="43">
                  <c:v>3.2000000000000001E-2</c:v>
                </c:pt>
                <c:pt idx="44">
                  <c:v>3.3000000000000002E-2</c:v>
                </c:pt>
                <c:pt idx="45">
                  <c:v>3.3000000000000002E-2</c:v>
                </c:pt>
                <c:pt idx="46">
                  <c:v>3.7000000000000005E-2</c:v>
                </c:pt>
                <c:pt idx="47">
                  <c:v>2.2000000000000002E-2</c:v>
                </c:pt>
                <c:pt idx="48">
                  <c:v>2.2000000000000002E-2</c:v>
                </c:pt>
                <c:pt idx="49">
                  <c:v>3.3000000000000002E-2</c:v>
                </c:pt>
                <c:pt idx="50">
                  <c:v>1.9E-2</c:v>
                </c:pt>
                <c:pt idx="51">
                  <c:v>1.4999999999999999E-2</c:v>
                </c:pt>
                <c:pt idx="52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0C-4830-9CE5-B96CD2C2D4DF}"/>
            </c:ext>
          </c:extLst>
        </c:ser>
        <c:ser>
          <c:idx val="5"/>
          <c:order val="3"/>
          <c:tx>
            <c:strRef>
              <c:f>Time!$V$11</c:f>
              <c:strCache>
                <c:ptCount val="1"/>
                <c:pt idx="0">
                  <c:v>Policies</c:v>
                </c:pt>
              </c:strCache>
            </c:strRef>
          </c:tx>
          <c:spPr>
            <a:ln w="635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Time!$Q$12:$Q$64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Time!$V$12:$V$64</c:f>
              <c:numCache>
                <c:formatCode>0.0%</c:formatCode>
                <c:ptCount val="53"/>
                <c:pt idx="0">
                  <c:v>7.1999999999999995E-2</c:v>
                </c:pt>
                <c:pt idx="1">
                  <c:v>5.5E-2</c:v>
                </c:pt>
                <c:pt idx="2">
                  <c:v>7.2999999999999995E-2</c:v>
                </c:pt>
                <c:pt idx="3">
                  <c:v>7.6999999999999999E-2</c:v>
                </c:pt>
                <c:pt idx="4">
                  <c:v>3.9E-2</c:v>
                </c:pt>
                <c:pt idx="5">
                  <c:v>8.7999999999999995E-2</c:v>
                </c:pt>
                <c:pt idx="6">
                  <c:v>2.1999999999999999E-2</c:v>
                </c:pt>
                <c:pt idx="7">
                  <c:v>3.5999999999999997E-2</c:v>
                </c:pt>
                <c:pt idx="8">
                  <c:v>0.03</c:v>
                </c:pt>
                <c:pt idx="9">
                  <c:v>3.4000000000000002E-2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5.3999999999999999E-2</c:v>
                </c:pt>
                <c:pt idx="13">
                  <c:v>0.03</c:v>
                </c:pt>
                <c:pt idx="14">
                  <c:v>2.3E-2</c:v>
                </c:pt>
                <c:pt idx="15">
                  <c:v>3.5000000000000003E-2</c:v>
                </c:pt>
                <c:pt idx="16">
                  <c:v>2.3E-2</c:v>
                </c:pt>
                <c:pt idx="17">
                  <c:v>2.2000000000000002E-2</c:v>
                </c:pt>
                <c:pt idx="18">
                  <c:v>3.4000000000000002E-2</c:v>
                </c:pt>
                <c:pt idx="19">
                  <c:v>3.7999999999999999E-2</c:v>
                </c:pt>
                <c:pt idx="20">
                  <c:v>2.1000000000000001E-2</c:v>
                </c:pt>
                <c:pt idx="21">
                  <c:v>3.1E-2</c:v>
                </c:pt>
                <c:pt idx="22">
                  <c:v>4.4999999999999998E-2</c:v>
                </c:pt>
                <c:pt idx="23">
                  <c:v>1.9E-2</c:v>
                </c:pt>
                <c:pt idx="24">
                  <c:v>2.2000000000000002E-2</c:v>
                </c:pt>
                <c:pt idx="25">
                  <c:v>0.03</c:v>
                </c:pt>
                <c:pt idx="26">
                  <c:v>6.0999999999999999E-2</c:v>
                </c:pt>
                <c:pt idx="27">
                  <c:v>6.8000000000000005E-2</c:v>
                </c:pt>
                <c:pt idx="28">
                  <c:v>3.7000000000000005E-2</c:v>
                </c:pt>
                <c:pt idx="29">
                  <c:v>6.3E-2</c:v>
                </c:pt>
                <c:pt idx="30">
                  <c:v>3.9E-2</c:v>
                </c:pt>
                <c:pt idx="31">
                  <c:v>3.7999999999999999E-2</c:v>
                </c:pt>
                <c:pt idx="32">
                  <c:v>2.3E-2</c:v>
                </c:pt>
                <c:pt idx="33">
                  <c:v>1.3000000000000001E-2</c:v>
                </c:pt>
                <c:pt idx="34">
                  <c:v>2.5000000000000001E-2</c:v>
                </c:pt>
                <c:pt idx="35">
                  <c:v>2.6000000000000002E-2</c:v>
                </c:pt>
                <c:pt idx="36">
                  <c:v>0.02</c:v>
                </c:pt>
                <c:pt idx="37">
                  <c:v>3.2000000000000001E-2</c:v>
                </c:pt>
                <c:pt idx="38">
                  <c:v>2.2000000000000002E-2</c:v>
                </c:pt>
                <c:pt idx="39">
                  <c:v>2.4E-2</c:v>
                </c:pt>
                <c:pt idx="40">
                  <c:v>0.01</c:v>
                </c:pt>
                <c:pt idx="41">
                  <c:v>2.8999999999999998E-2</c:v>
                </c:pt>
                <c:pt idx="42">
                  <c:v>1.6E-2</c:v>
                </c:pt>
                <c:pt idx="43">
                  <c:v>1.1000000000000001E-2</c:v>
                </c:pt>
                <c:pt idx="44">
                  <c:v>1.4999999999999999E-2</c:v>
                </c:pt>
                <c:pt idx="45">
                  <c:v>1.3999999999999999E-2</c:v>
                </c:pt>
                <c:pt idx="46">
                  <c:v>1.7000000000000001E-2</c:v>
                </c:pt>
                <c:pt idx="47">
                  <c:v>2.4E-2</c:v>
                </c:pt>
                <c:pt idx="48">
                  <c:v>2.7999999999999997E-2</c:v>
                </c:pt>
                <c:pt idx="49">
                  <c:v>1.6E-2</c:v>
                </c:pt>
                <c:pt idx="50">
                  <c:v>8.0000000000000002E-3</c:v>
                </c:pt>
                <c:pt idx="51">
                  <c:v>4.2999999999999997E-2</c:v>
                </c:pt>
                <c:pt idx="52">
                  <c:v>2.6000000000000002E-2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C0-5F4A-8D43-0C8B5EAE4911}"/>
            </c:ext>
          </c:extLst>
        </c:ser>
        <c:ser>
          <c:idx val="6"/>
          <c:order val="4"/>
          <c:tx>
            <c:strRef>
              <c:f>Time!$W$11</c:f>
              <c:strCache>
                <c:ptCount val="1"/>
                <c:pt idx="0">
                  <c:v>Environment</c:v>
                </c:pt>
              </c:strCache>
            </c:strRef>
          </c:tx>
          <c:spPr>
            <a:ln w="635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Time!$Q$12:$Q$64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Time!$W$12:$W$64</c:f>
              <c:numCache>
                <c:formatCode>0.0%</c:formatCode>
                <c:ptCount val="53"/>
                <c:pt idx="0">
                  <c:v>5.8999999999999997E-2</c:v>
                </c:pt>
                <c:pt idx="1">
                  <c:v>5.5E-2</c:v>
                </c:pt>
                <c:pt idx="2">
                  <c:v>0.10100000000000001</c:v>
                </c:pt>
                <c:pt idx="3">
                  <c:v>5.8000000000000003E-2</c:v>
                </c:pt>
                <c:pt idx="4">
                  <c:v>8.7999999999999995E-2</c:v>
                </c:pt>
                <c:pt idx="5">
                  <c:v>6.6000000000000003E-2</c:v>
                </c:pt>
                <c:pt idx="6">
                  <c:v>6.6000000000000003E-2</c:v>
                </c:pt>
                <c:pt idx="7">
                  <c:v>5.8999999999999997E-2</c:v>
                </c:pt>
                <c:pt idx="8">
                  <c:v>5.8999999999999997E-2</c:v>
                </c:pt>
                <c:pt idx="9">
                  <c:v>5.8000000000000003E-2</c:v>
                </c:pt>
                <c:pt idx="10">
                  <c:v>2.8000000000000001E-2</c:v>
                </c:pt>
                <c:pt idx="11">
                  <c:v>4.1000000000000002E-2</c:v>
                </c:pt>
                <c:pt idx="12">
                  <c:v>5.0999999999999997E-2</c:v>
                </c:pt>
                <c:pt idx="13">
                  <c:v>5.1999999999999998E-2</c:v>
                </c:pt>
                <c:pt idx="14">
                  <c:v>6.2E-2</c:v>
                </c:pt>
                <c:pt idx="15">
                  <c:v>3.9E-2</c:v>
                </c:pt>
                <c:pt idx="16">
                  <c:v>6.6000000000000003E-2</c:v>
                </c:pt>
                <c:pt idx="17">
                  <c:v>0.05</c:v>
                </c:pt>
                <c:pt idx="18">
                  <c:v>6.7000000000000004E-2</c:v>
                </c:pt>
                <c:pt idx="19">
                  <c:v>7.0000000000000007E-2</c:v>
                </c:pt>
                <c:pt idx="20">
                  <c:v>4.7E-2</c:v>
                </c:pt>
                <c:pt idx="21">
                  <c:v>7.4999999999999997E-2</c:v>
                </c:pt>
                <c:pt idx="22">
                  <c:v>4.9000000000000002E-2</c:v>
                </c:pt>
                <c:pt idx="23">
                  <c:v>5.2999999999999999E-2</c:v>
                </c:pt>
                <c:pt idx="24">
                  <c:v>4.9000000000000002E-2</c:v>
                </c:pt>
                <c:pt idx="25">
                  <c:v>6.0999999999999999E-2</c:v>
                </c:pt>
                <c:pt idx="26">
                  <c:v>0.05</c:v>
                </c:pt>
                <c:pt idx="27">
                  <c:v>4.5999999999999999E-2</c:v>
                </c:pt>
                <c:pt idx="28">
                  <c:v>4.2000000000000003E-2</c:v>
                </c:pt>
                <c:pt idx="29">
                  <c:v>0.04</c:v>
                </c:pt>
                <c:pt idx="30">
                  <c:v>4.9000000000000002E-2</c:v>
                </c:pt>
                <c:pt idx="31">
                  <c:v>6.4000000000000001E-2</c:v>
                </c:pt>
                <c:pt idx="32">
                  <c:v>4.9000000000000002E-2</c:v>
                </c:pt>
                <c:pt idx="33">
                  <c:v>5.5999999999999994E-2</c:v>
                </c:pt>
                <c:pt idx="34">
                  <c:v>4.4999999999999998E-2</c:v>
                </c:pt>
                <c:pt idx="35">
                  <c:v>3.2000000000000001E-2</c:v>
                </c:pt>
                <c:pt idx="36">
                  <c:v>3.5000000000000003E-2</c:v>
                </c:pt>
                <c:pt idx="37">
                  <c:v>3.7000000000000005E-2</c:v>
                </c:pt>
                <c:pt idx="38">
                  <c:v>6.3E-2</c:v>
                </c:pt>
                <c:pt idx="39">
                  <c:v>4.5999999999999999E-2</c:v>
                </c:pt>
                <c:pt idx="40">
                  <c:v>5.7999999999999996E-2</c:v>
                </c:pt>
                <c:pt idx="41">
                  <c:v>1.8000000000000002E-2</c:v>
                </c:pt>
                <c:pt idx="42">
                  <c:v>2.5000000000000001E-2</c:v>
                </c:pt>
                <c:pt idx="43">
                  <c:v>1.7000000000000001E-2</c:v>
                </c:pt>
                <c:pt idx="44">
                  <c:v>1.6E-2</c:v>
                </c:pt>
                <c:pt idx="45">
                  <c:v>4.4999999999999998E-2</c:v>
                </c:pt>
                <c:pt idx="46">
                  <c:v>2.7000000000000003E-2</c:v>
                </c:pt>
                <c:pt idx="47">
                  <c:v>4.2999999999999997E-2</c:v>
                </c:pt>
                <c:pt idx="48">
                  <c:v>3.5000000000000003E-2</c:v>
                </c:pt>
                <c:pt idx="49">
                  <c:v>3.4000000000000002E-2</c:v>
                </c:pt>
                <c:pt idx="50">
                  <c:v>2.1000000000000001E-2</c:v>
                </c:pt>
                <c:pt idx="51">
                  <c:v>2.8999999999999998E-2</c:v>
                </c:pt>
                <c:pt idx="52">
                  <c:v>2.6000000000000002E-2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C0-5F4A-8D43-0C8B5EAE4911}"/>
            </c:ext>
          </c:extLst>
        </c:ser>
        <c:ser>
          <c:idx val="8"/>
          <c:order val="5"/>
          <c:tx>
            <c:strRef>
              <c:f>Time!$X$11</c:f>
              <c:strCache>
                <c:ptCount val="1"/>
                <c:pt idx="0">
                  <c:v>Housing</c:v>
                </c:pt>
              </c:strCache>
            </c:strRef>
          </c:tx>
          <c:spPr>
            <a:ln w="635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Time!$Q$12:$Q$64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Time!$X$12:$X$64</c:f>
              <c:numCache>
                <c:formatCode>0.0%</c:formatCode>
                <c:ptCount val="53"/>
                <c:pt idx="0">
                  <c:v>4.2000000000000003E-2</c:v>
                </c:pt>
                <c:pt idx="1">
                  <c:v>3.5000000000000003E-2</c:v>
                </c:pt>
                <c:pt idx="2">
                  <c:v>2.8000000000000001E-2</c:v>
                </c:pt>
                <c:pt idx="3">
                  <c:v>9.1999999999999998E-2</c:v>
                </c:pt>
                <c:pt idx="4">
                  <c:v>9.1999999999999998E-2</c:v>
                </c:pt>
                <c:pt idx="5">
                  <c:v>5.0999999999999997E-2</c:v>
                </c:pt>
                <c:pt idx="6">
                  <c:v>6.9000000000000006E-2</c:v>
                </c:pt>
                <c:pt idx="7">
                  <c:v>6.4000000000000001E-2</c:v>
                </c:pt>
                <c:pt idx="8">
                  <c:v>5.3999999999999999E-2</c:v>
                </c:pt>
                <c:pt idx="9">
                  <c:v>0.05</c:v>
                </c:pt>
                <c:pt idx="10">
                  <c:v>4.5999999999999999E-2</c:v>
                </c:pt>
                <c:pt idx="11">
                  <c:v>2.1999999999999999E-2</c:v>
                </c:pt>
                <c:pt idx="12">
                  <c:v>3.7999999999999999E-2</c:v>
                </c:pt>
                <c:pt idx="13">
                  <c:v>5.5E-2</c:v>
                </c:pt>
                <c:pt idx="14">
                  <c:v>0.111</c:v>
                </c:pt>
                <c:pt idx="15">
                  <c:v>3.4000000000000002E-2</c:v>
                </c:pt>
                <c:pt idx="16">
                  <c:v>4.4999999999999998E-2</c:v>
                </c:pt>
                <c:pt idx="17">
                  <c:v>3.6000000000000004E-2</c:v>
                </c:pt>
                <c:pt idx="18">
                  <c:v>2.7999999999999997E-2</c:v>
                </c:pt>
                <c:pt idx="19">
                  <c:v>3.7999999999999999E-2</c:v>
                </c:pt>
                <c:pt idx="20">
                  <c:v>0.03</c:v>
                </c:pt>
                <c:pt idx="21">
                  <c:v>2.7000000000000003E-2</c:v>
                </c:pt>
                <c:pt idx="22">
                  <c:v>0.04</c:v>
                </c:pt>
                <c:pt idx="23">
                  <c:v>3.4000000000000002E-2</c:v>
                </c:pt>
                <c:pt idx="24">
                  <c:v>4.7E-2</c:v>
                </c:pt>
                <c:pt idx="25">
                  <c:v>2.6000000000000002E-2</c:v>
                </c:pt>
                <c:pt idx="26">
                  <c:v>3.6000000000000004E-2</c:v>
                </c:pt>
                <c:pt idx="27">
                  <c:v>2.8999999999999998E-2</c:v>
                </c:pt>
                <c:pt idx="28">
                  <c:v>3.4000000000000002E-2</c:v>
                </c:pt>
                <c:pt idx="29">
                  <c:v>5.2000000000000005E-2</c:v>
                </c:pt>
                <c:pt idx="30">
                  <c:v>1.3000000000000001E-2</c:v>
                </c:pt>
                <c:pt idx="31">
                  <c:v>3.2000000000000001E-2</c:v>
                </c:pt>
                <c:pt idx="32">
                  <c:v>5.0999999999999997E-2</c:v>
                </c:pt>
                <c:pt idx="33">
                  <c:v>0.04</c:v>
                </c:pt>
                <c:pt idx="34">
                  <c:v>3.9E-2</c:v>
                </c:pt>
                <c:pt idx="35">
                  <c:v>3.7999999999999999E-2</c:v>
                </c:pt>
                <c:pt idx="36">
                  <c:v>3.7000000000000005E-2</c:v>
                </c:pt>
                <c:pt idx="37">
                  <c:v>3.7000000000000005E-2</c:v>
                </c:pt>
                <c:pt idx="38">
                  <c:v>3.7000000000000005E-2</c:v>
                </c:pt>
                <c:pt idx="39">
                  <c:v>2.3E-2</c:v>
                </c:pt>
                <c:pt idx="40">
                  <c:v>2.7000000000000003E-2</c:v>
                </c:pt>
                <c:pt idx="41">
                  <c:v>3.2000000000000001E-2</c:v>
                </c:pt>
                <c:pt idx="42">
                  <c:v>2.4E-2</c:v>
                </c:pt>
                <c:pt idx="43">
                  <c:v>2.7999999999999997E-2</c:v>
                </c:pt>
                <c:pt idx="44">
                  <c:v>0.01</c:v>
                </c:pt>
                <c:pt idx="45">
                  <c:v>1.4999999999999999E-2</c:v>
                </c:pt>
                <c:pt idx="46">
                  <c:v>2.4E-2</c:v>
                </c:pt>
                <c:pt idx="47">
                  <c:v>2.7999999999999997E-2</c:v>
                </c:pt>
                <c:pt idx="48">
                  <c:v>1.8000000000000002E-2</c:v>
                </c:pt>
                <c:pt idx="49">
                  <c:v>2.1999999999999999E-2</c:v>
                </c:pt>
                <c:pt idx="50">
                  <c:v>0.02</c:v>
                </c:pt>
                <c:pt idx="51">
                  <c:v>3.4000000000000002E-2</c:v>
                </c:pt>
                <c:pt idx="52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C0-5F4A-8D43-0C8B5EAE4911}"/>
            </c:ext>
          </c:extLst>
        </c:ser>
        <c:ser>
          <c:idx val="3"/>
          <c:order val="6"/>
          <c:tx>
            <c:strRef>
              <c:f>Time!$Y$11</c:f>
              <c:strCache>
                <c:ptCount val="1"/>
                <c:pt idx="0">
                  <c:v>Treaty</c:v>
                </c:pt>
              </c:strCache>
            </c:strRef>
          </c:tx>
          <c:spPr>
            <a:ln w="6350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Time!$Q$12:$Q$64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Time!$Y$12:$Y$64</c:f>
              <c:numCache>
                <c:formatCode>0.0%</c:formatCode>
                <c:ptCount val="53"/>
                <c:pt idx="20">
                  <c:v>0.03</c:v>
                </c:pt>
                <c:pt idx="21">
                  <c:v>0.04</c:v>
                </c:pt>
                <c:pt idx="22">
                  <c:v>0.04</c:v>
                </c:pt>
                <c:pt idx="23">
                  <c:v>0.03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0.05</c:v>
                </c:pt>
                <c:pt idx="29">
                  <c:v>7.1999999999999995E-2</c:v>
                </c:pt>
                <c:pt idx="30">
                  <c:v>0.03</c:v>
                </c:pt>
                <c:pt idx="31">
                  <c:v>2.7000000000000003E-2</c:v>
                </c:pt>
                <c:pt idx="32">
                  <c:v>0.03</c:v>
                </c:pt>
                <c:pt idx="33">
                  <c:v>0.03</c:v>
                </c:pt>
                <c:pt idx="34">
                  <c:v>2.3E-2</c:v>
                </c:pt>
                <c:pt idx="35">
                  <c:v>3.7999999999999999E-2</c:v>
                </c:pt>
                <c:pt idx="36">
                  <c:v>4.9000000000000002E-2</c:v>
                </c:pt>
                <c:pt idx="37">
                  <c:v>3.7999999999999999E-2</c:v>
                </c:pt>
                <c:pt idx="38">
                  <c:v>5.0999999999999997E-2</c:v>
                </c:pt>
                <c:pt idx="39">
                  <c:v>8.4000000000000005E-2</c:v>
                </c:pt>
                <c:pt idx="40">
                  <c:v>0.08</c:v>
                </c:pt>
                <c:pt idx="41">
                  <c:v>7.5999999999999998E-2</c:v>
                </c:pt>
                <c:pt idx="42">
                  <c:v>5.3999999999999999E-2</c:v>
                </c:pt>
                <c:pt idx="43">
                  <c:v>5.2999999999999999E-2</c:v>
                </c:pt>
                <c:pt idx="44">
                  <c:v>3.4000000000000002E-2</c:v>
                </c:pt>
                <c:pt idx="45">
                  <c:v>2.7999999999999997E-2</c:v>
                </c:pt>
                <c:pt idx="46">
                  <c:v>3.5000000000000003E-2</c:v>
                </c:pt>
                <c:pt idx="47">
                  <c:v>2.7999999999999997E-2</c:v>
                </c:pt>
                <c:pt idx="48">
                  <c:v>1.9E-2</c:v>
                </c:pt>
                <c:pt idx="49">
                  <c:v>2.6000000000000002E-2</c:v>
                </c:pt>
                <c:pt idx="50">
                  <c:v>2.4E-2</c:v>
                </c:pt>
                <c:pt idx="51">
                  <c:v>2.6000000000000002E-2</c:v>
                </c:pt>
                <c:pt idx="5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B-EA41-881A-3B9AFE36AF20}"/>
            </c:ext>
          </c:extLst>
        </c:ser>
        <c:ser>
          <c:idx val="4"/>
          <c:order val="7"/>
          <c:tx>
            <c:strRef>
              <c:f>Time!$Z$11</c:f>
              <c:strCache>
                <c:ptCount val="1"/>
                <c:pt idx="0">
                  <c:v>Poverty</c:v>
                </c:pt>
              </c:strCache>
            </c:strRef>
          </c:tx>
          <c:spPr>
            <a:ln w="635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Time!$Q$12:$Q$64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Time!$Z$12:$Z$64</c:f>
              <c:numCache>
                <c:formatCode>0.0%</c:formatCode>
                <c:ptCount val="53"/>
                <c:pt idx="0">
                  <c:v>3.5000000000000003E-2</c:v>
                </c:pt>
                <c:pt idx="1">
                  <c:v>1.9E-2</c:v>
                </c:pt>
                <c:pt idx="2">
                  <c:v>2.5000000000000001E-2</c:v>
                </c:pt>
                <c:pt idx="3">
                  <c:v>4.2999999999999997E-2</c:v>
                </c:pt>
                <c:pt idx="4">
                  <c:v>2.1999999999999999E-2</c:v>
                </c:pt>
                <c:pt idx="5">
                  <c:v>5.3999999999999999E-2</c:v>
                </c:pt>
                <c:pt idx="6">
                  <c:v>2.8000000000000001E-2</c:v>
                </c:pt>
                <c:pt idx="7">
                  <c:v>5.3999999999999999E-2</c:v>
                </c:pt>
                <c:pt idx="8">
                  <c:v>4.7E-2</c:v>
                </c:pt>
                <c:pt idx="9">
                  <c:v>5.1999999999999998E-2</c:v>
                </c:pt>
                <c:pt idx="10">
                  <c:v>4.3999999999999997E-2</c:v>
                </c:pt>
                <c:pt idx="11">
                  <c:v>5.0999999999999997E-2</c:v>
                </c:pt>
                <c:pt idx="12">
                  <c:v>4.1000000000000002E-2</c:v>
                </c:pt>
                <c:pt idx="13">
                  <c:v>4.8000000000000001E-2</c:v>
                </c:pt>
                <c:pt idx="14">
                  <c:v>6.0999999999999999E-2</c:v>
                </c:pt>
                <c:pt idx="15">
                  <c:v>0.05</c:v>
                </c:pt>
                <c:pt idx="16">
                  <c:v>5.3999999999999999E-2</c:v>
                </c:pt>
                <c:pt idx="17">
                  <c:v>3.3000000000000002E-2</c:v>
                </c:pt>
                <c:pt idx="18">
                  <c:v>3.6000000000000004E-2</c:v>
                </c:pt>
                <c:pt idx="19">
                  <c:v>6.3E-2</c:v>
                </c:pt>
                <c:pt idx="20">
                  <c:v>0.02</c:v>
                </c:pt>
                <c:pt idx="21">
                  <c:v>5.5E-2</c:v>
                </c:pt>
                <c:pt idx="22">
                  <c:v>4.0999999999999995E-2</c:v>
                </c:pt>
                <c:pt idx="23">
                  <c:v>3.7000000000000005E-2</c:v>
                </c:pt>
                <c:pt idx="24">
                  <c:v>4.7E-2</c:v>
                </c:pt>
                <c:pt idx="25">
                  <c:v>3.7000000000000005E-2</c:v>
                </c:pt>
                <c:pt idx="26">
                  <c:v>4.8000000000000001E-2</c:v>
                </c:pt>
                <c:pt idx="27">
                  <c:v>3.9E-2</c:v>
                </c:pt>
                <c:pt idx="28">
                  <c:v>0.05</c:v>
                </c:pt>
                <c:pt idx="29">
                  <c:v>3.3000000000000002E-2</c:v>
                </c:pt>
                <c:pt idx="30">
                  <c:v>2.2000000000000002E-2</c:v>
                </c:pt>
                <c:pt idx="31">
                  <c:v>6.6000000000000003E-2</c:v>
                </c:pt>
                <c:pt idx="32">
                  <c:v>4.4000000000000004E-2</c:v>
                </c:pt>
                <c:pt idx="33">
                  <c:v>4.2999999999999997E-2</c:v>
                </c:pt>
                <c:pt idx="34">
                  <c:v>9.7000000000000003E-2</c:v>
                </c:pt>
                <c:pt idx="35">
                  <c:v>6.4000000000000001E-2</c:v>
                </c:pt>
                <c:pt idx="36">
                  <c:v>5.2000000000000005E-2</c:v>
                </c:pt>
                <c:pt idx="37">
                  <c:v>0.06</c:v>
                </c:pt>
                <c:pt idx="38">
                  <c:v>4.4999999999999998E-2</c:v>
                </c:pt>
                <c:pt idx="39">
                  <c:v>3.5000000000000003E-2</c:v>
                </c:pt>
                <c:pt idx="40">
                  <c:v>4.2999999999999997E-2</c:v>
                </c:pt>
                <c:pt idx="41">
                  <c:v>4.7E-2</c:v>
                </c:pt>
                <c:pt idx="42">
                  <c:v>4.2000000000000003E-2</c:v>
                </c:pt>
                <c:pt idx="43">
                  <c:v>6.2E-2</c:v>
                </c:pt>
                <c:pt idx="44">
                  <c:v>3.7000000000000005E-2</c:v>
                </c:pt>
                <c:pt idx="45">
                  <c:v>3.5000000000000003E-2</c:v>
                </c:pt>
                <c:pt idx="46">
                  <c:v>4.4999999999999998E-2</c:v>
                </c:pt>
                <c:pt idx="47">
                  <c:v>3.7000000000000005E-2</c:v>
                </c:pt>
                <c:pt idx="48">
                  <c:v>4.4999999999999998E-2</c:v>
                </c:pt>
                <c:pt idx="49">
                  <c:v>4.0999999999999995E-2</c:v>
                </c:pt>
                <c:pt idx="50">
                  <c:v>5.9000000000000004E-2</c:v>
                </c:pt>
                <c:pt idx="51">
                  <c:v>4.2000000000000003E-2</c:v>
                </c:pt>
                <c:pt idx="52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AB-EA41-881A-3B9AFE36AF20}"/>
            </c:ext>
          </c:extLst>
        </c:ser>
        <c:ser>
          <c:idx val="7"/>
          <c:order val="8"/>
          <c:tx>
            <c:strRef>
              <c:f>Time!$AA$11</c:f>
              <c:strCache>
                <c:ptCount val="1"/>
                <c:pt idx="0">
                  <c:v>Health</c:v>
                </c:pt>
              </c:strCache>
            </c:strRef>
          </c:tx>
          <c:spPr>
            <a:ln w="6350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Time!$Q$12:$Q$64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Time!$AA$12:$AA$64</c:f>
              <c:numCache>
                <c:formatCode>0.0%</c:formatCode>
                <c:ptCount val="53"/>
                <c:pt idx="0">
                  <c:v>4.5999999999999999E-2</c:v>
                </c:pt>
                <c:pt idx="1">
                  <c:v>4.2000000000000003E-2</c:v>
                </c:pt>
                <c:pt idx="2">
                  <c:v>3.3000000000000002E-2</c:v>
                </c:pt>
                <c:pt idx="3">
                  <c:v>5.8000000000000003E-2</c:v>
                </c:pt>
                <c:pt idx="4">
                  <c:v>6.9000000000000006E-2</c:v>
                </c:pt>
                <c:pt idx="5">
                  <c:v>4.5999999999999999E-2</c:v>
                </c:pt>
                <c:pt idx="6">
                  <c:v>7.2999999999999995E-2</c:v>
                </c:pt>
                <c:pt idx="7">
                  <c:v>5.3999999999999999E-2</c:v>
                </c:pt>
                <c:pt idx="8">
                  <c:v>5.5E-2</c:v>
                </c:pt>
                <c:pt idx="9">
                  <c:v>5.8000000000000003E-2</c:v>
                </c:pt>
                <c:pt idx="10">
                  <c:v>7.1999999999999995E-2</c:v>
                </c:pt>
                <c:pt idx="11">
                  <c:v>6.3E-2</c:v>
                </c:pt>
                <c:pt idx="12">
                  <c:v>6.7000000000000004E-2</c:v>
                </c:pt>
                <c:pt idx="13">
                  <c:v>5.5E-2</c:v>
                </c:pt>
                <c:pt idx="14">
                  <c:v>8.8999999999999996E-2</c:v>
                </c:pt>
                <c:pt idx="15">
                  <c:v>7.1999999999999995E-2</c:v>
                </c:pt>
                <c:pt idx="16">
                  <c:v>6.9000000000000006E-2</c:v>
                </c:pt>
                <c:pt idx="17">
                  <c:v>3.3000000000000002E-2</c:v>
                </c:pt>
                <c:pt idx="18">
                  <c:v>3.1E-2</c:v>
                </c:pt>
                <c:pt idx="19">
                  <c:v>0.1</c:v>
                </c:pt>
                <c:pt idx="20">
                  <c:v>8.199999999999999E-2</c:v>
                </c:pt>
                <c:pt idx="21">
                  <c:v>7.0999999999999994E-2</c:v>
                </c:pt>
                <c:pt idx="22">
                  <c:v>5.7999999999999996E-2</c:v>
                </c:pt>
                <c:pt idx="23">
                  <c:v>8.5999999999999993E-2</c:v>
                </c:pt>
                <c:pt idx="24">
                  <c:v>7.4999999999999997E-2</c:v>
                </c:pt>
                <c:pt idx="25">
                  <c:v>9.4E-2</c:v>
                </c:pt>
                <c:pt idx="26">
                  <c:v>5.2000000000000005E-2</c:v>
                </c:pt>
                <c:pt idx="27">
                  <c:v>0.05</c:v>
                </c:pt>
                <c:pt idx="28">
                  <c:v>7.4999999999999997E-2</c:v>
                </c:pt>
                <c:pt idx="29">
                  <c:v>7.0000000000000007E-2</c:v>
                </c:pt>
                <c:pt idx="30">
                  <c:v>7.4499999999999997E-2</c:v>
                </c:pt>
                <c:pt idx="31">
                  <c:v>8.6999999999999994E-2</c:v>
                </c:pt>
                <c:pt idx="32">
                  <c:v>7.2999999999999995E-2</c:v>
                </c:pt>
                <c:pt idx="33">
                  <c:v>0.12300000000000001</c:v>
                </c:pt>
                <c:pt idx="34">
                  <c:v>7.2999999999999995E-2</c:v>
                </c:pt>
                <c:pt idx="35">
                  <c:v>0.129</c:v>
                </c:pt>
                <c:pt idx="36">
                  <c:v>0.11699999999999999</c:v>
                </c:pt>
                <c:pt idx="37">
                  <c:v>0.13800000000000001</c:v>
                </c:pt>
                <c:pt idx="38">
                  <c:v>9.6000000000000002E-2</c:v>
                </c:pt>
                <c:pt idx="39">
                  <c:v>0.11800000000000001</c:v>
                </c:pt>
                <c:pt idx="40">
                  <c:v>0.11599999999999999</c:v>
                </c:pt>
                <c:pt idx="41">
                  <c:v>0.13900000000000001</c:v>
                </c:pt>
                <c:pt idx="42">
                  <c:v>0.14199999999999999</c:v>
                </c:pt>
                <c:pt idx="43">
                  <c:v>0.14000000000000001</c:v>
                </c:pt>
                <c:pt idx="44">
                  <c:v>0.16899999999999998</c:v>
                </c:pt>
                <c:pt idx="45">
                  <c:v>0.11900000000000001</c:v>
                </c:pt>
                <c:pt idx="46">
                  <c:v>0.13300000000000001</c:v>
                </c:pt>
                <c:pt idx="47">
                  <c:v>0.1</c:v>
                </c:pt>
                <c:pt idx="48">
                  <c:v>0.111</c:v>
                </c:pt>
                <c:pt idx="49">
                  <c:v>0.10300000000000001</c:v>
                </c:pt>
                <c:pt idx="50">
                  <c:v>0.11800000000000001</c:v>
                </c:pt>
                <c:pt idx="51">
                  <c:v>9.4E-2</c:v>
                </c:pt>
                <c:pt idx="52">
                  <c:v>8.8000000000000009E-2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AB-EA41-881A-3B9AFE36A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432184"/>
        <c:axId val="688426608"/>
      </c:lineChart>
      <c:dateAx>
        <c:axId val="6884321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6608"/>
        <c:crosses val="autoZero"/>
        <c:auto val="1"/>
        <c:lblOffset val="100"/>
        <c:baseTimeUnit val="months"/>
      </c:dateAx>
      <c:valAx>
        <c:axId val="68842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32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Importance of Issues (out of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'This Month'!$A$129:$A$137</c:f>
              <c:strCache>
                <c:ptCount val="9"/>
                <c:pt idx="0">
                  <c:v>Economy</c:v>
                </c:pt>
                <c:pt idx="1">
                  <c:v>Health</c:v>
                </c:pt>
                <c:pt idx="2">
                  <c:v>Poverty</c:v>
                </c:pt>
                <c:pt idx="3">
                  <c:v>Inflation</c:v>
                </c:pt>
                <c:pt idx="4">
                  <c:v>Education</c:v>
                </c:pt>
                <c:pt idx="5">
                  <c:v>Taxes</c:v>
                </c:pt>
                <c:pt idx="6">
                  <c:v>Safety</c:v>
                </c:pt>
                <c:pt idx="7">
                  <c:v>Spending</c:v>
                </c:pt>
                <c:pt idx="8">
                  <c:v>Housing</c:v>
                </c:pt>
              </c:strCache>
            </c:strRef>
          </c:cat>
          <c:val>
            <c:numRef>
              <c:f>'This Month'!$B$129:$B$137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7F7F-5942-AC2C-35A4B2106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6994415"/>
        <c:axId val="1816378703"/>
      </c:barChart>
      <c:catAx>
        <c:axId val="181699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378703"/>
        <c:crosses val="autoZero"/>
        <c:auto val="1"/>
        <c:lblAlgn val="ctr"/>
        <c:lblOffset val="100"/>
        <c:noMultiLvlLbl val="0"/>
      </c:catAx>
      <c:valAx>
        <c:axId val="1816378703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9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Issue importance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801613285105187E-2"/>
          <c:y val="0.10472727272727275"/>
          <c:w val="0.91945834497997081"/>
          <c:h val="0.7712412312097352"/>
        </c:manualLayout>
      </c:layout>
      <c:lineChart>
        <c:grouping val="standard"/>
        <c:varyColors val="0"/>
        <c:ser>
          <c:idx val="0"/>
          <c:order val="0"/>
          <c:tx>
            <c:strRef>
              <c:f>Time!$AY$47</c:f>
              <c:strCache>
                <c:ptCount val="1"/>
                <c:pt idx="0">
                  <c:v>Economy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Time!$AX$48:$AX$53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</c:numCache>
            </c:numRef>
          </c:cat>
          <c:val>
            <c:numRef>
              <c:f>Time!$AY$48:$AY$53</c:f>
              <c:numCache>
                <c:formatCode>_(* #,##0.0_);_(* \(#,##0.0\);_(* "-"??_);_(@_)</c:formatCode>
                <c:ptCount val="6"/>
                <c:pt idx="0">
                  <c:v>8.1999999999999993</c:v>
                </c:pt>
                <c:pt idx="1">
                  <c:v>8.3000000000000007</c:v>
                </c:pt>
                <c:pt idx="2">
                  <c:v>8.1999999999999993</c:v>
                </c:pt>
                <c:pt idx="3">
                  <c:v>8.4</c:v>
                </c:pt>
                <c:pt idx="4">
                  <c:v>8.1</c:v>
                </c:pt>
                <c:pt idx="5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3-DC49-821F-99C4A46EDFB4}"/>
            </c:ext>
          </c:extLst>
        </c:ser>
        <c:ser>
          <c:idx val="1"/>
          <c:order val="1"/>
          <c:tx>
            <c:strRef>
              <c:f>Time!$AZ$47</c:f>
              <c:strCache>
                <c:ptCount val="1"/>
                <c:pt idx="0">
                  <c:v>Health</c:v>
                </c:pt>
              </c:strCache>
            </c:strRef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Time!$AX$48:$AX$53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</c:numCache>
            </c:numRef>
          </c:cat>
          <c:val>
            <c:numRef>
              <c:f>Time!$AZ$48:$AZ$53</c:f>
              <c:numCache>
                <c:formatCode>_(* #,##0.0_);_(* \(#,##0.0\);_(* "-"??_);_(@_)</c:formatCode>
                <c:ptCount val="6"/>
                <c:pt idx="0">
                  <c:v>8.5</c:v>
                </c:pt>
                <c:pt idx="1">
                  <c:v>8.5</c:v>
                </c:pt>
                <c:pt idx="2">
                  <c:v>8.4</c:v>
                </c:pt>
                <c:pt idx="3">
                  <c:v>8.6</c:v>
                </c:pt>
                <c:pt idx="4">
                  <c:v>8.4</c:v>
                </c:pt>
                <c:pt idx="5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3-DC49-821F-99C4A46EDFB4}"/>
            </c:ext>
          </c:extLst>
        </c:ser>
        <c:ser>
          <c:idx val="2"/>
          <c:order val="2"/>
          <c:tx>
            <c:strRef>
              <c:f>Time!$BA$47</c:f>
              <c:strCache>
                <c:ptCount val="1"/>
                <c:pt idx="0">
                  <c:v>Poverty</c:v>
                </c:pt>
              </c:strCache>
            </c:strRef>
          </c:tx>
          <c:spPr>
            <a:ln w="635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Time!$AX$48:$AX$53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</c:numCache>
            </c:numRef>
          </c:cat>
          <c:val>
            <c:numRef>
              <c:f>Time!$BA$48:$BA$53</c:f>
              <c:numCache>
                <c:formatCode>_(* #,##0.0_);_(* \(#,##0.0\);_(* "-"??_);_(@_)</c:formatCode>
                <c:ptCount val="6"/>
                <c:pt idx="0">
                  <c:v>7.6</c:v>
                </c:pt>
                <c:pt idx="1">
                  <c:v>7.7</c:v>
                </c:pt>
                <c:pt idx="2">
                  <c:v>8</c:v>
                </c:pt>
                <c:pt idx="3">
                  <c:v>7.9</c:v>
                </c:pt>
                <c:pt idx="4">
                  <c:v>7.6</c:v>
                </c:pt>
                <c:pt idx="5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C3-DC49-821F-99C4A46EDFB4}"/>
            </c:ext>
          </c:extLst>
        </c:ser>
        <c:ser>
          <c:idx val="3"/>
          <c:order val="3"/>
          <c:tx>
            <c:strRef>
              <c:f>Time!$BB$47</c:f>
              <c:strCache>
                <c:ptCount val="1"/>
                <c:pt idx="0">
                  <c:v>Inflation</c:v>
                </c:pt>
              </c:strCache>
            </c:strRef>
          </c:tx>
          <c:spPr>
            <a:ln w="635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Time!$AX$48:$AX$53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</c:numCache>
            </c:numRef>
          </c:cat>
          <c:val>
            <c:numRef>
              <c:f>Time!$BB$48:$BB$53</c:f>
              <c:numCache>
                <c:formatCode>_(* #,##0.0_);_(* \(#,##0.0\);_(* "-"??_);_(@_)</c:formatCode>
                <c:ptCount val="6"/>
                <c:pt idx="0">
                  <c:v>8</c:v>
                </c:pt>
                <c:pt idx="1">
                  <c:v>8.1999999999999993</c:v>
                </c:pt>
                <c:pt idx="2">
                  <c:v>8.1999999999999993</c:v>
                </c:pt>
                <c:pt idx="3">
                  <c:v>8.1999999999999993</c:v>
                </c:pt>
                <c:pt idx="4">
                  <c:v>8</c:v>
                </c:pt>
                <c:pt idx="5">
                  <c:v>8.1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BC3-DC49-821F-99C4A46EDFB4}"/>
            </c:ext>
          </c:extLst>
        </c:ser>
        <c:ser>
          <c:idx val="4"/>
          <c:order val="4"/>
          <c:tx>
            <c:strRef>
              <c:f>Time!$BC$47</c:f>
              <c:strCache>
                <c:ptCount val="1"/>
                <c:pt idx="0">
                  <c:v>Education</c:v>
                </c:pt>
              </c:strCache>
            </c:strRef>
          </c:tx>
          <c:spPr>
            <a:ln w="635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Time!$AX$48:$AX$53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</c:numCache>
            </c:numRef>
          </c:cat>
          <c:val>
            <c:numRef>
              <c:f>Time!$BC$48:$BC$53</c:f>
              <c:numCache>
                <c:formatCode>_(* #,##0.0_);_(* \(#,##0.0\);_(* "-"??_);_(@_)</c:formatCode>
                <c:ptCount val="6"/>
                <c:pt idx="0">
                  <c:v>8.1</c:v>
                </c:pt>
                <c:pt idx="1">
                  <c:v>8.1999999999999993</c:v>
                </c:pt>
                <c:pt idx="2">
                  <c:v>8.1999999999999993</c:v>
                </c:pt>
                <c:pt idx="3">
                  <c:v>8.6</c:v>
                </c:pt>
                <c:pt idx="4">
                  <c:v>8.1</c:v>
                </c:pt>
                <c:pt idx="5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C3-DC49-821F-99C4A46EDFB4}"/>
            </c:ext>
          </c:extLst>
        </c:ser>
        <c:ser>
          <c:idx val="5"/>
          <c:order val="5"/>
          <c:tx>
            <c:strRef>
              <c:f>Time!$BD$47</c:f>
              <c:strCache>
                <c:ptCount val="1"/>
                <c:pt idx="0">
                  <c:v>Tax</c:v>
                </c:pt>
              </c:strCache>
            </c:strRef>
          </c:tx>
          <c:spPr>
            <a:ln w="635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Time!$AX$48:$AX$53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</c:numCache>
            </c:numRef>
          </c:cat>
          <c:val>
            <c:numRef>
              <c:f>Time!$BD$48:$BD$53</c:f>
              <c:numCache>
                <c:formatCode>_(* #,##0.0_);_(* \(#,##0.0\);_(* "-"??_);_(@_)</c:formatCode>
                <c:ptCount val="6"/>
                <c:pt idx="0">
                  <c:v>7</c:v>
                </c:pt>
                <c:pt idx="1">
                  <c:v>6.9</c:v>
                </c:pt>
                <c:pt idx="2">
                  <c:v>7.3</c:v>
                </c:pt>
                <c:pt idx="3">
                  <c:v>7.1</c:v>
                </c:pt>
                <c:pt idx="4">
                  <c:v>7.1</c:v>
                </c:pt>
                <c:pt idx="5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C3-DC49-821F-99C4A46EDFB4}"/>
            </c:ext>
          </c:extLst>
        </c:ser>
        <c:ser>
          <c:idx val="6"/>
          <c:order val="6"/>
          <c:tx>
            <c:strRef>
              <c:f>Time!$BE$47</c:f>
              <c:strCache>
                <c:ptCount val="1"/>
                <c:pt idx="0">
                  <c:v>Crime</c:v>
                </c:pt>
              </c:strCache>
            </c:strRef>
          </c:tx>
          <c:spPr>
            <a:ln w="635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Time!$AX$48:$AX$53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</c:numCache>
            </c:numRef>
          </c:cat>
          <c:val>
            <c:numRef>
              <c:f>Time!$BE$48:$BE$53</c:f>
              <c:numCache>
                <c:formatCode>_(* #,##0.0_);_(* \(#,##0.0\);_(* "-"??_);_(@_)</c:formatCode>
                <c:ptCount val="6"/>
                <c:pt idx="0">
                  <c:v>7.9</c:v>
                </c:pt>
                <c:pt idx="1">
                  <c:v>7.9</c:v>
                </c:pt>
                <c:pt idx="2">
                  <c:v>8</c:v>
                </c:pt>
                <c:pt idx="3">
                  <c:v>7.8</c:v>
                </c:pt>
                <c:pt idx="4">
                  <c:v>7.8</c:v>
                </c:pt>
                <c:pt idx="5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C3-DC49-821F-99C4A46EDFB4}"/>
            </c:ext>
          </c:extLst>
        </c:ser>
        <c:ser>
          <c:idx val="7"/>
          <c:order val="7"/>
          <c:tx>
            <c:strRef>
              <c:f>Time!$BF$47</c:f>
              <c:strCache>
                <c:ptCount val="1"/>
                <c:pt idx="0">
                  <c:v>Waste</c:v>
                </c:pt>
              </c:strCache>
            </c:strRef>
          </c:tx>
          <c:spPr>
            <a:ln w="635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Time!$AX$48:$AX$53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</c:numCache>
            </c:numRef>
          </c:cat>
          <c:val>
            <c:numRef>
              <c:f>Time!$BF$48:$BF$53</c:f>
              <c:numCache>
                <c:formatCode>_(* #,##0.0_);_(* \(#,##0.0\);_(* "-"??_);_(@_)</c:formatCode>
                <c:ptCount val="6"/>
                <c:pt idx="0">
                  <c:v>7.9</c:v>
                </c:pt>
                <c:pt idx="1">
                  <c:v>8</c:v>
                </c:pt>
                <c:pt idx="2">
                  <c:v>8.1</c:v>
                </c:pt>
                <c:pt idx="3">
                  <c:v>8.1</c:v>
                </c:pt>
                <c:pt idx="4">
                  <c:v>7.8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BC3-DC49-821F-99C4A46EDFB4}"/>
            </c:ext>
          </c:extLst>
        </c:ser>
        <c:ser>
          <c:idx val="8"/>
          <c:order val="8"/>
          <c:tx>
            <c:strRef>
              <c:f>Time!$BG$47</c:f>
              <c:strCache>
                <c:ptCount val="1"/>
                <c:pt idx="0">
                  <c:v>Housing</c:v>
                </c:pt>
              </c:strCache>
            </c:strRef>
          </c:tx>
          <c:spPr>
            <a:ln w="635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Time!$AX$48:$AX$53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</c:numCache>
            </c:numRef>
          </c:cat>
          <c:val>
            <c:numRef>
              <c:f>Time!$BG$48:$BG$53</c:f>
              <c:numCache>
                <c:formatCode>_(* #,##0.0_);_(* \(#,##0.0\);_(* "-"??_);_(@_)</c:formatCode>
                <c:ptCount val="6"/>
                <c:pt idx="0">
                  <c:v>7.7</c:v>
                </c:pt>
                <c:pt idx="1">
                  <c:v>7.7</c:v>
                </c:pt>
                <c:pt idx="2">
                  <c:v>8</c:v>
                </c:pt>
                <c:pt idx="3">
                  <c:v>7.8</c:v>
                </c:pt>
                <c:pt idx="4">
                  <c:v>7.7</c:v>
                </c:pt>
                <c:pt idx="5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BC3-DC49-821F-99C4A46EDFB4}"/>
            </c:ext>
          </c:extLst>
        </c:ser>
        <c:ser>
          <c:idx val="9"/>
          <c:order val="9"/>
          <c:tx>
            <c:strRef>
              <c:f>Time!$BH$47</c:f>
              <c:strCache>
                <c:ptCount val="1"/>
                <c:pt idx="0">
                  <c:v>Environment</c:v>
                </c:pt>
              </c:strCache>
            </c:strRef>
          </c:tx>
          <c:spPr>
            <a:ln w="635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Time!$AX$48:$AX$53</c:f>
              <c:numCache>
                <c:formatCode>mmm\-yy</c:formatCode>
                <c:ptCount val="6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</c:numCache>
            </c:numRef>
          </c:cat>
          <c:val>
            <c:numRef>
              <c:f>Time!$BH$48:$BH$53</c:f>
              <c:numCache>
                <c:formatCode>_(* #,##0.0_);_(* \(#,##0.0\);_(* "-"??_);_(@_)</c:formatCode>
                <c:ptCount val="6"/>
                <c:pt idx="0">
                  <c:v>7.6</c:v>
                </c:pt>
                <c:pt idx="1">
                  <c:v>7.4</c:v>
                </c:pt>
                <c:pt idx="2">
                  <c:v>7.5</c:v>
                </c:pt>
                <c:pt idx="3">
                  <c:v>7.4</c:v>
                </c:pt>
                <c:pt idx="4">
                  <c:v>7.4</c:v>
                </c:pt>
                <c:pt idx="5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BC3-DC49-821F-99C4A46ED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238360"/>
        <c:axId val="439237704"/>
        <c:extLst/>
      </c:lineChart>
      <c:dateAx>
        <c:axId val="4392383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37704"/>
        <c:crosses val="autoZero"/>
        <c:auto val="1"/>
        <c:lblOffset val="100"/>
        <c:baseTimeUnit val="months"/>
      </c:dateAx>
      <c:valAx>
        <c:axId val="439237704"/>
        <c:scaling>
          <c:orientation val="minMax"/>
          <c:max val="9"/>
          <c:min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3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Party best 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801613285105187E-2"/>
          <c:y val="0.10472727272727275"/>
          <c:w val="0.91945834497997081"/>
          <c:h val="0.77124123120973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'This Month'!$B$142</c:f>
              <c:strCache>
                <c:ptCount val="1"/>
                <c:pt idx="0">
                  <c:v>Nat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'This Month'!$A$143:$A$151</c:f>
              <c:strCache>
                <c:ptCount val="9"/>
                <c:pt idx="0">
                  <c:v>Economy</c:v>
                </c:pt>
                <c:pt idx="1">
                  <c:v>Health</c:v>
                </c:pt>
                <c:pt idx="2">
                  <c:v>Poverty</c:v>
                </c:pt>
                <c:pt idx="3">
                  <c:v>Inflation</c:v>
                </c:pt>
                <c:pt idx="4">
                  <c:v>Education</c:v>
                </c:pt>
                <c:pt idx="5">
                  <c:v>Taxes</c:v>
                </c:pt>
                <c:pt idx="6">
                  <c:v>Safety</c:v>
                </c:pt>
                <c:pt idx="7">
                  <c:v>Spending</c:v>
                </c:pt>
                <c:pt idx="8">
                  <c:v>Housing</c:v>
                </c:pt>
              </c:strCache>
            </c:strRef>
          </c:cat>
          <c:val>
            <c:numRef>
              <c:f>'This Month'!$B$143:$B$151</c:f>
              <c:numCache>
                <c:formatCode>0.0%</c:formatCode>
                <c:ptCount val="9"/>
                <c:pt idx="0">
                  <c:v>0.36</c:v>
                </c:pt>
                <c:pt idx="1">
                  <c:v>0.223</c:v>
                </c:pt>
                <c:pt idx="2">
                  <c:v>0.182</c:v>
                </c:pt>
                <c:pt idx="3">
                  <c:v>0.29399999999999998</c:v>
                </c:pt>
                <c:pt idx="4">
                  <c:v>0.30299999999999999</c:v>
                </c:pt>
                <c:pt idx="5">
                  <c:v>0.221</c:v>
                </c:pt>
                <c:pt idx="6">
                  <c:v>0.29199999999999998</c:v>
                </c:pt>
                <c:pt idx="7">
                  <c:v>0.26400000000000001</c:v>
                </c:pt>
                <c:pt idx="8">
                  <c:v>0.20200000000000001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4-4D5F-8236-87DF2A73231D}"/>
            </c:ext>
          </c:extLst>
        </c:ser>
        <c:ser>
          <c:idx val="1"/>
          <c:order val="1"/>
          <c:tx>
            <c:strRef>
              <c:f>'This Month'!$C$142</c:f>
              <c:strCache>
                <c:ptCount val="1"/>
                <c:pt idx="0">
                  <c:v>Lab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'This Month'!$A$143:$A$151</c:f>
              <c:strCache>
                <c:ptCount val="9"/>
                <c:pt idx="0">
                  <c:v>Economy</c:v>
                </c:pt>
                <c:pt idx="1">
                  <c:v>Health</c:v>
                </c:pt>
                <c:pt idx="2">
                  <c:v>Poverty</c:v>
                </c:pt>
                <c:pt idx="3">
                  <c:v>Inflation</c:v>
                </c:pt>
                <c:pt idx="4">
                  <c:v>Education</c:v>
                </c:pt>
                <c:pt idx="5">
                  <c:v>Taxes</c:v>
                </c:pt>
                <c:pt idx="6">
                  <c:v>Safety</c:v>
                </c:pt>
                <c:pt idx="7">
                  <c:v>Spending</c:v>
                </c:pt>
                <c:pt idx="8">
                  <c:v>Housing</c:v>
                </c:pt>
              </c:strCache>
            </c:strRef>
          </c:cat>
          <c:val>
            <c:numRef>
              <c:f>'This Month'!$C$143:$C$151</c:f>
              <c:numCache>
                <c:formatCode>0.0%</c:formatCode>
                <c:ptCount val="9"/>
                <c:pt idx="0">
                  <c:v>0.254</c:v>
                </c:pt>
                <c:pt idx="1">
                  <c:v>0.35699999999999998</c:v>
                </c:pt>
                <c:pt idx="2">
                  <c:v>0.30499999999999999</c:v>
                </c:pt>
                <c:pt idx="3">
                  <c:v>0.25600000000000001</c:v>
                </c:pt>
                <c:pt idx="4">
                  <c:v>0.29399999999999998</c:v>
                </c:pt>
                <c:pt idx="5">
                  <c:v>0.23</c:v>
                </c:pt>
                <c:pt idx="6">
                  <c:v>0.24399999999999999</c:v>
                </c:pt>
                <c:pt idx="7">
                  <c:v>0.20100000000000001</c:v>
                </c:pt>
                <c:pt idx="8">
                  <c:v>0.30399999999999999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4-4D5F-8236-87DF2A7323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39238360"/>
        <c:axId val="439237704"/>
      </c:barChart>
      <c:catAx>
        <c:axId val="439238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37704"/>
        <c:crosses val="autoZero"/>
        <c:auto val="1"/>
        <c:lblAlgn val="ctr"/>
        <c:lblOffset val="100"/>
        <c:noMultiLvlLbl val="0"/>
      </c:catAx>
      <c:valAx>
        <c:axId val="43923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3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Labour's lead over National on issues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801613285105187E-2"/>
          <c:y val="0.10472727272727275"/>
          <c:w val="0.91945834497997081"/>
          <c:h val="0.7712412312097352"/>
        </c:manualLayout>
      </c:layout>
      <c:lineChart>
        <c:grouping val="standard"/>
        <c:varyColors val="0"/>
        <c:ser>
          <c:idx val="0"/>
          <c:order val="0"/>
          <c:tx>
            <c:strRef>
              <c:f>Time!$AN$11</c:f>
              <c:strCache>
                <c:ptCount val="1"/>
                <c:pt idx="0">
                  <c:v>Economy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Time!$AM$12:$AM$64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Time!$AN$12:$AN$64</c:f>
              <c:numCache>
                <c:formatCode>0.0%</c:formatCode>
                <c:ptCount val="53"/>
                <c:pt idx="0">
                  <c:v>3.0000000000000001E-3</c:v>
                </c:pt>
                <c:pt idx="1">
                  <c:v>4.9000000000000002E-2</c:v>
                </c:pt>
                <c:pt idx="2">
                  <c:v>-8.2000000000000003E-2</c:v>
                </c:pt>
                <c:pt idx="3">
                  <c:v>-2.7000000000000003E-2</c:v>
                </c:pt>
                <c:pt idx="4">
                  <c:v>-0.187</c:v>
                </c:pt>
                <c:pt idx="5">
                  <c:v>-0.189</c:v>
                </c:pt>
                <c:pt idx="6">
                  <c:v>-0.27</c:v>
                </c:pt>
                <c:pt idx="7">
                  <c:v>-0.17499999999999999</c:v>
                </c:pt>
                <c:pt idx="8">
                  <c:v>-0.254</c:v>
                </c:pt>
                <c:pt idx="9">
                  <c:v>-0.20799999999999999</c:v>
                </c:pt>
                <c:pt idx="10">
                  <c:v>-0.121</c:v>
                </c:pt>
                <c:pt idx="11">
                  <c:v>-0.17399999999999999</c:v>
                </c:pt>
                <c:pt idx="12">
                  <c:v>-0.28000000000000003</c:v>
                </c:pt>
                <c:pt idx="13">
                  <c:v>-0.22399999999999998</c:v>
                </c:pt>
                <c:pt idx="14">
                  <c:v>-0.17499999999999999</c:v>
                </c:pt>
                <c:pt idx="15">
                  <c:v>-0.16899999999999998</c:v>
                </c:pt>
                <c:pt idx="16">
                  <c:v>-0.22800000000000001</c:v>
                </c:pt>
                <c:pt idx="17">
                  <c:v>-0.20100000000000001</c:v>
                </c:pt>
                <c:pt idx="18">
                  <c:v>-0.13800000000000001</c:v>
                </c:pt>
                <c:pt idx="19">
                  <c:v>-0.16899999999999998</c:v>
                </c:pt>
                <c:pt idx="20">
                  <c:v>-0.221</c:v>
                </c:pt>
                <c:pt idx="21">
                  <c:v>-0.22800000000000001</c:v>
                </c:pt>
                <c:pt idx="22">
                  <c:v>-0.20899999999999999</c:v>
                </c:pt>
                <c:pt idx="23">
                  <c:v>-0.24100000000000002</c:v>
                </c:pt>
                <c:pt idx="24">
                  <c:v>-0.19899999999999998</c:v>
                </c:pt>
                <c:pt idx="25">
                  <c:v>-0.19</c:v>
                </c:pt>
                <c:pt idx="26">
                  <c:v>-0.29600000000000004</c:v>
                </c:pt>
                <c:pt idx="27">
                  <c:v>-0.29600000000000004</c:v>
                </c:pt>
                <c:pt idx="28">
                  <c:v>-0.34600000000000003</c:v>
                </c:pt>
                <c:pt idx="29">
                  <c:v>-0.308</c:v>
                </c:pt>
                <c:pt idx="30">
                  <c:v>-0.24399999999999999</c:v>
                </c:pt>
                <c:pt idx="31">
                  <c:v>-0.17600000000000002</c:v>
                </c:pt>
                <c:pt idx="32">
                  <c:v>-0.311</c:v>
                </c:pt>
                <c:pt idx="33">
                  <c:v>-0.25</c:v>
                </c:pt>
                <c:pt idx="34">
                  <c:v>-0.26600000000000001</c:v>
                </c:pt>
                <c:pt idx="35">
                  <c:v>-0.26200000000000001</c:v>
                </c:pt>
                <c:pt idx="36">
                  <c:v>-0.28000000000000003</c:v>
                </c:pt>
                <c:pt idx="37">
                  <c:v>-0.26</c:v>
                </c:pt>
                <c:pt idx="38">
                  <c:v>-0.26899999999999996</c:v>
                </c:pt>
                <c:pt idx="39">
                  <c:v>-0.26500000000000001</c:v>
                </c:pt>
                <c:pt idx="40">
                  <c:v>-0.16600000000000001</c:v>
                </c:pt>
                <c:pt idx="41">
                  <c:v>-8.6999999999999994E-2</c:v>
                </c:pt>
                <c:pt idx="42">
                  <c:v>-0.22699999999999998</c:v>
                </c:pt>
                <c:pt idx="43">
                  <c:v>-0.187</c:v>
                </c:pt>
                <c:pt idx="44">
                  <c:v>-0.214</c:v>
                </c:pt>
                <c:pt idx="45">
                  <c:v>-0.19399999999999998</c:v>
                </c:pt>
                <c:pt idx="46">
                  <c:v>-0.26</c:v>
                </c:pt>
                <c:pt idx="47">
                  <c:v>-0.14800000000000002</c:v>
                </c:pt>
                <c:pt idx="48">
                  <c:v>-0.15</c:v>
                </c:pt>
                <c:pt idx="49">
                  <c:v>-0.151</c:v>
                </c:pt>
                <c:pt idx="50">
                  <c:v>-0.10800000000000001</c:v>
                </c:pt>
                <c:pt idx="51">
                  <c:v>-0.152</c:v>
                </c:pt>
                <c:pt idx="52">
                  <c:v>-0.106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2-424B-BBD5-36F86FDF6FBA}"/>
            </c:ext>
          </c:extLst>
        </c:ser>
        <c:ser>
          <c:idx val="1"/>
          <c:order val="1"/>
          <c:tx>
            <c:strRef>
              <c:f>Time!$AO$11</c:f>
              <c:strCache>
                <c:ptCount val="1"/>
                <c:pt idx="0">
                  <c:v>Health</c:v>
                </c:pt>
              </c:strCache>
            </c:strRef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Time!$AM$12:$AM$64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Time!$AO$12:$AO$64</c:f>
              <c:numCache>
                <c:formatCode>0.0%</c:formatCode>
                <c:ptCount val="53"/>
                <c:pt idx="0">
                  <c:v>0.35099999999999998</c:v>
                </c:pt>
                <c:pt idx="1">
                  <c:v>0.36299999999999999</c:v>
                </c:pt>
                <c:pt idx="2">
                  <c:v>0.24299999999999999</c:v>
                </c:pt>
                <c:pt idx="3">
                  <c:v>0.16399999999999998</c:v>
                </c:pt>
                <c:pt idx="4">
                  <c:v>0.19800000000000001</c:v>
                </c:pt>
                <c:pt idx="5">
                  <c:v>0.214</c:v>
                </c:pt>
                <c:pt idx="6">
                  <c:v>0.27700000000000002</c:v>
                </c:pt>
                <c:pt idx="7">
                  <c:v>0.114</c:v>
                </c:pt>
                <c:pt idx="8">
                  <c:v>0.09</c:v>
                </c:pt>
                <c:pt idx="9">
                  <c:v>0.155</c:v>
                </c:pt>
                <c:pt idx="10">
                  <c:v>0.16800000000000001</c:v>
                </c:pt>
                <c:pt idx="11">
                  <c:v>0.14599999999999999</c:v>
                </c:pt>
                <c:pt idx="12">
                  <c:v>0.08</c:v>
                </c:pt>
                <c:pt idx="13">
                  <c:v>8.5000000000000006E-2</c:v>
                </c:pt>
                <c:pt idx="14">
                  <c:v>0.13</c:v>
                </c:pt>
                <c:pt idx="15">
                  <c:v>9.1999999999999998E-2</c:v>
                </c:pt>
                <c:pt idx="16">
                  <c:v>8.1000000000000003E-2</c:v>
                </c:pt>
                <c:pt idx="17">
                  <c:v>0.11599999999999999</c:v>
                </c:pt>
                <c:pt idx="18">
                  <c:v>0.158</c:v>
                </c:pt>
                <c:pt idx="19">
                  <c:v>9.1999999999999998E-2</c:v>
                </c:pt>
                <c:pt idx="20">
                  <c:v>0.06</c:v>
                </c:pt>
                <c:pt idx="21">
                  <c:v>4.2000000000000003E-2</c:v>
                </c:pt>
                <c:pt idx="22">
                  <c:v>4.2999999999999997E-2</c:v>
                </c:pt>
                <c:pt idx="23">
                  <c:v>8.1000000000000003E-2</c:v>
                </c:pt>
                <c:pt idx="24">
                  <c:v>-2E-3</c:v>
                </c:pt>
                <c:pt idx="25">
                  <c:v>1.6E-2</c:v>
                </c:pt>
                <c:pt idx="26">
                  <c:v>4.0000000000000001E-3</c:v>
                </c:pt>
                <c:pt idx="27">
                  <c:v>-2E-3</c:v>
                </c:pt>
                <c:pt idx="28">
                  <c:v>-1.7000000000000001E-2</c:v>
                </c:pt>
                <c:pt idx="29">
                  <c:v>-4.8000000000000001E-2</c:v>
                </c:pt>
                <c:pt idx="30">
                  <c:v>-1.2E-2</c:v>
                </c:pt>
                <c:pt idx="31">
                  <c:v>7.0000000000000001E-3</c:v>
                </c:pt>
                <c:pt idx="32">
                  <c:v>-2.8999999999999998E-2</c:v>
                </c:pt>
                <c:pt idx="33">
                  <c:v>-4.2999999999999997E-2</c:v>
                </c:pt>
                <c:pt idx="34">
                  <c:v>-3.4000000000000002E-2</c:v>
                </c:pt>
                <c:pt idx="35">
                  <c:v>-9.1999999999999998E-2</c:v>
                </c:pt>
                <c:pt idx="36">
                  <c:v>-0.1</c:v>
                </c:pt>
                <c:pt idx="37">
                  <c:v>-1.7000000000000001E-2</c:v>
                </c:pt>
                <c:pt idx="38">
                  <c:v>3.0000000000000001E-3</c:v>
                </c:pt>
                <c:pt idx="39">
                  <c:v>3.6000000000000004E-2</c:v>
                </c:pt>
                <c:pt idx="40">
                  <c:v>3.7000000000000005E-2</c:v>
                </c:pt>
                <c:pt idx="41">
                  <c:v>8.199999999999999E-2</c:v>
                </c:pt>
                <c:pt idx="42">
                  <c:v>8.5999999999999993E-2</c:v>
                </c:pt>
                <c:pt idx="43">
                  <c:v>5.4000000000000006E-2</c:v>
                </c:pt>
                <c:pt idx="44">
                  <c:v>5.2999999999999999E-2</c:v>
                </c:pt>
                <c:pt idx="45">
                  <c:v>5.2999999999999999E-2</c:v>
                </c:pt>
                <c:pt idx="46">
                  <c:v>5.5E-2</c:v>
                </c:pt>
                <c:pt idx="47">
                  <c:v>6.6000000000000003E-2</c:v>
                </c:pt>
                <c:pt idx="48">
                  <c:v>0.125</c:v>
                </c:pt>
                <c:pt idx="49">
                  <c:v>5.9000000000000004E-2</c:v>
                </c:pt>
                <c:pt idx="50">
                  <c:v>5.2999999999999999E-2</c:v>
                </c:pt>
                <c:pt idx="51">
                  <c:v>9.9000000000000005E-2</c:v>
                </c:pt>
                <c:pt idx="52">
                  <c:v>0.13400000000000001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2-424B-BBD5-36F86FDF6FBA}"/>
            </c:ext>
          </c:extLst>
        </c:ser>
        <c:ser>
          <c:idx val="2"/>
          <c:order val="2"/>
          <c:tx>
            <c:strRef>
              <c:f>Time!$AP$11</c:f>
              <c:strCache>
                <c:ptCount val="1"/>
                <c:pt idx="0">
                  <c:v>Poverty</c:v>
                </c:pt>
              </c:strCache>
            </c:strRef>
          </c:tx>
          <c:spPr>
            <a:ln w="635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37"/>
            <c:marker>
              <c:symbol val="none"/>
            </c:marker>
            <c:bubble3D val="0"/>
            <c:spPr>
              <a:ln w="6350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F9DB-4445-9932-4EBBD97B630F}"/>
              </c:ext>
            </c:extLst>
          </c:dPt>
          <c:cat>
            <c:numRef>
              <c:f>Time!$AM$12:$AM$64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Time!$AP$12:$AP$64</c:f>
              <c:numCache>
                <c:formatCode>0.0%</c:formatCode>
                <c:ptCount val="53"/>
                <c:pt idx="36" formatCode="0.00%">
                  <c:v>8.9999999999999993E-3</c:v>
                </c:pt>
                <c:pt idx="37" formatCode="0.00%">
                  <c:v>-3.0000000000000001E-3</c:v>
                </c:pt>
                <c:pt idx="38" formatCode="0.00%">
                  <c:v>6.3E-2</c:v>
                </c:pt>
                <c:pt idx="39" formatCode="0.00%">
                  <c:v>-4.2000000000000003E-2</c:v>
                </c:pt>
                <c:pt idx="40" formatCode="0.00%">
                  <c:v>-1.3000000000000001E-2</c:v>
                </c:pt>
                <c:pt idx="41" formatCode="0.00%">
                  <c:v>0.125</c:v>
                </c:pt>
                <c:pt idx="42" formatCode="0.00%">
                  <c:v>9.6999999999999989E-2</c:v>
                </c:pt>
                <c:pt idx="43" formatCode="0.00%">
                  <c:v>8.5999999999999993E-2</c:v>
                </c:pt>
                <c:pt idx="44" formatCode="0.00%">
                  <c:v>0.107</c:v>
                </c:pt>
                <c:pt idx="45" formatCode="0.00%">
                  <c:v>8.199999999999999E-2</c:v>
                </c:pt>
                <c:pt idx="46" formatCode="0.00%">
                  <c:v>7.0999999999999994E-2</c:v>
                </c:pt>
                <c:pt idx="47" formatCode="0.00%">
                  <c:v>0.11699999999999999</c:v>
                </c:pt>
                <c:pt idx="48" formatCode="0.00%">
                  <c:v>8.6999999999999994E-2</c:v>
                </c:pt>
                <c:pt idx="49" formatCode="0.00%">
                  <c:v>8.199999999999999E-2</c:v>
                </c:pt>
                <c:pt idx="50" formatCode="0.00%">
                  <c:v>4.8000000000000001E-2</c:v>
                </c:pt>
                <c:pt idx="51" formatCode="0.00%">
                  <c:v>5.7000000000000002E-2</c:v>
                </c:pt>
                <c:pt idx="52" formatCode="0.00%">
                  <c:v>0.12300000000000001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F6-4834-8380-9F1F01EE0535}"/>
            </c:ext>
          </c:extLst>
        </c:ser>
        <c:ser>
          <c:idx val="3"/>
          <c:order val="3"/>
          <c:tx>
            <c:strRef>
              <c:f>Time!$AQ$11</c:f>
              <c:strCache>
                <c:ptCount val="1"/>
                <c:pt idx="0">
                  <c:v>Inflation</c:v>
                </c:pt>
              </c:strCache>
            </c:strRef>
          </c:tx>
          <c:spPr>
            <a:ln w="635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Time!$AM$12:$AM$64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Time!$AQ$12:$AQ$64</c:f>
              <c:numCache>
                <c:formatCode>0.0%</c:formatCode>
                <c:ptCount val="53"/>
                <c:pt idx="9">
                  <c:v>-0.153</c:v>
                </c:pt>
                <c:pt idx="10">
                  <c:v>-9.4E-2</c:v>
                </c:pt>
                <c:pt idx="11">
                  <c:v>-0.10199999999999999</c:v>
                </c:pt>
                <c:pt idx="12">
                  <c:v>-0.19</c:v>
                </c:pt>
                <c:pt idx="13">
                  <c:v>-0.14899999999999999</c:v>
                </c:pt>
                <c:pt idx="14">
                  <c:v>-0.13400000000000001</c:v>
                </c:pt>
                <c:pt idx="15">
                  <c:v>-0.151</c:v>
                </c:pt>
                <c:pt idx="16">
                  <c:v>-0.25900000000000001</c:v>
                </c:pt>
                <c:pt idx="17">
                  <c:v>-0.16300000000000001</c:v>
                </c:pt>
                <c:pt idx="18">
                  <c:v>-0.122</c:v>
                </c:pt>
                <c:pt idx="19">
                  <c:v>-0.114</c:v>
                </c:pt>
                <c:pt idx="20">
                  <c:v>-0.154</c:v>
                </c:pt>
                <c:pt idx="21">
                  <c:v>-0.16399999999999998</c:v>
                </c:pt>
                <c:pt idx="22">
                  <c:v>-0.161</c:v>
                </c:pt>
                <c:pt idx="23">
                  <c:v>-0.16800000000000001</c:v>
                </c:pt>
                <c:pt idx="24">
                  <c:v>-0.20499999999999999</c:v>
                </c:pt>
                <c:pt idx="25">
                  <c:v>-0.14000000000000001</c:v>
                </c:pt>
                <c:pt idx="26">
                  <c:v>-0.23800000000000002</c:v>
                </c:pt>
                <c:pt idx="27">
                  <c:v>-0.20199999999999999</c:v>
                </c:pt>
                <c:pt idx="28">
                  <c:v>-0.26300000000000001</c:v>
                </c:pt>
                <c:pt idx="29">
                  <c:v>-0.31900000000000001</c:v>
                </c:pt>
                <c:pt idx="30">
                  <c:v>-0.17899999999999999</c:v>
                </c:pt>
                <c:pt idx="31">
                  <c:v>-0.18</c:v>
                </c:pt>
                <c:pt idx="32">
                  <c:v>-0.27200000000000002</c:v>
                </c:pt>
                <c:pt idx="33">
                  <c:v>-0.2</c:v>
                </c:pt>
                <c:pt idx="34">
                  <c:v>-0.19500000000000001</c:v>
                </c:pt>
                <c:pt idx="35">
                  <c:v>-0.23600000000000002</c:v>
                </c:pt>
                <c:pt idx="36">
                  <c:v>-0.26300000000000001</c:v>
                </c:pt>
                <c:pt idx="37">
                  <c:v>-0.22</c:v>
                </c:pt>
                <c:pt idx="38">
                  <c:v>-8.4000000000000005E-2</c:v>
                </c:pt>
                <c:pt idx="39">
                  <c:v>-0.20300000000000001</c:v>
                </c:pt>
                <c:pt idx="40">
                  <c:v>-0.125</c:v>
                </c:pt>
                <c:pt idx="41">
                  <c:v>-0.16500000000000001</c:v>
                </c:pt>
                <c:pt idx="42">
                  <c:v>-0.11699999999999999</c:v>
                </c:pt>
                <c:pt idx="43">
                  <c:v>-0.14199999999999999</c:v>
                </c:pt>
                <c:pt idx="44">
                  <c:v>-6.7000000000000004E-2</c:v>
                </c:pt>
                <c:pt idx="45">
                  <c:v>-0.115</c:v>
                </c:pt>
                <c:pt idx="46">
                  <c:v>-0.106</c:v>
                </c:pt>
                <c:pt idx="47">
                  <c:v>-0.126</c:v>
                </c:pt>
                <c:pt idx="48">
                  <c:v>-6.6000000000000003E-2</c:v>
                </c:pt>
                <c:pt idx="49">
                  <c:v>-7.2999999999999995E-2</c:v>
                </c:pt>
                <c:pt idx="50">
                  <c:v>-6.3E-2</c:v>
                </c:pt>
                <c:pt idx="51">
                  <c:v>-3.9E-2</c:v>
                </c:pt>
                <c:pt idx="52">
                  <c:v>-3.7999999999999999E-2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21A-49C8-80B2-27445885B1FB}"/>
            </c:ext>
          </c:extLst>
        </c:ser>
        <c:ser>
          <c:idx val="4"/>
          <c:order val="4"/>
          <c:tx>
            <c:strRef>
              <c:f>Time!$AR$11</c:f>
              <c:strCache>
                <c:ptCount val="1"/>
                <c:pt idx="0">
                  <c:v>Education</c:v>
                </c:pt>
              </c:strCache>
            </c:strRef>
          </c:tx>
          <c:spPr>
            <a:ln w="635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Time!$AM$12:$AM$64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Time!$AR$12:$AR$64</c:f>
              <c:numCache>
                <c:formatCode>0.0%</c:formatCode>
                <c:ptCount val="53"/>
                <c:pt idx="36">
                  <c:v>-0.154</c:v>
                </c:pt>
                <c:pt idx="37">
                  <c:v>-0.124</c:v>
                </c:pt>
                <c:pt idx="38">
                  <c:v>-0.128</c:v>
                </c:pt>
                <c:pt idx="39">
                  <c:v>-9.6000000000000002E-2</c:v>
                </c:pt>
                <c:pt idx="40">
                  <c:v>-7.2000000000000008E-2</c:v>
                </c:pt>
                <c:pt idx="41">
                  <c:v>-1.4999999999999999E-2</c:v>
                </c:pt>
                <c:pt idx="42">
                  <c:v>-4.2000000000000003E-2</c:v>
                </c:pt>
                <c:pt idx="43">
                  <c:v>-4.2999999999999997E-2</c:v>
                </c:pt>
                <c:pt idx="44">
                  <c:v>-2.7999999999999997E-2</c:v>
                </c:pt>
                <c:pt idx="45">
                  <c:v>2.7000000000000003E-2</c:v>
                </c:pt>
                <c:pt idx="46">
                  <c:v>-0.111</c:v>
                </c:pt>
                <c:pt idx="47">
                  <c:v>-2.6000000000000002E-2</c:v>
                </c:pt>
                <c:pt idx="48">
                  <c:v>-3.1E-2</c:v>
                </c:pt>
                <c:pt idx="49">
                  <c:v>-0.125</c:v>
                </c:pt>
                <c:pt idx="50">
                  <c:v>-1.3999999999999999E-2</c:v>
                </c:pt>
                <c:pt idx="51">
                  <c:v>-0.03</c:v>
                </c:pt>
                <c:pt idx="52">
                  <c:v>-8.9999999999999993E-3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A-4CC9-BF2D-A7915D1C5372}"/>
            </c:ext>
          </c:extLst>
        </c:ser>
        <c:ser>
          <c:idx val="5"/>
          <c:order val="5"/>
          <c:tx>
            <c:strRef>
              <c:f>Time!$AS$11</c:f>
              <c:strCache>
                <c:ptCount val="1"/>
                <c:pt idx="0">
                  <c:v>Tax</c:v>
                </c:pt>
              </c:strCache>
            </c:strRef>
          </c:tx>
          <c:spPr>
            <a:ln w="635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Time!$AM$12:$AM$64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Time!$AS$12:$AS$64</c:f>
              <c:numCache>
                <c:formatCode>0.0%</c:formatCode>
                <c:ptCount val="53"/>
                <c:pt idx="36">
                  <c:v>-0.14099999999999999</c:v>
                </c:pt>
                <c:pt idx="37">
                  <c:v>-0.122</c:v>
                </c:pt>
                <c:pt idx="38">
                  <c:v>-0.113</c:v>
                </c:pt>
                <c:pt idx="39">
                  <c:v>-0.13300000000000001</c:v>
                </c:pt>
                <c:pt idx="40">
                  <c:v>-1.8000000000000002E-2</c:v>
                </c:pt>
                <c:pt idx="41">
                  <c:v>-1.1000000000000001E-2</c:v>
                </c:pt>
                <c:pt idx="42">
                  <c:v>-1.7000000000000001E-2</c:v>
                </c:pt>
                <c:pt idx="43">
                  <c:v>-2.2000000000000002E-2</c:v>
                </c:pt>
                <c:pt idx="44">
                  <c:v>-1E-3</c:v>
                </c:pt>
                <c:pt idx="45">
                  <c:v>-5.4000000000000006E-2</c:v>
                </c:pt>
                <c:pt idx="46">
                  <c:v>-3.9E-2</c:v>
                </c:pt>
                <c:pt idx="47">
                  <c:v>-1.9E-2</c:v>
                </c:pt>
                <c:pt idx="48">
                  <c:v>1.1000000000000001E-2</c:v>
                </c:pt>
                <c:pt idx="49">
                  <c:v>-1.3000000000000001E-2</c:v>
                </c:pt>
                <c:pt idx="50">
                  <c:v>-5.0000000000000001E-3</c:v>
                </c:pt>
                <c:pt idx="51">
                  <c:v>1.9E-2</c:v>
                </c:pt>
                <c:pt idx="52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E-4B24-9EE2-B6B20B0C2506}"/>
            </c:ext>
          </c:extLst>
        </c:ser>
        <c:ser>
          <c:idx val="6"/>
          <c:order val="6"/>
          <c:tx>
            <c:strRef>
              <c:f>Time!$AT$11</c:f>
              <c:strCache>
                <c:ptCount val="1"/>
                <c:pt idx="0">
                  <c:v>Crime</c:v>
                </c:pt>
              </c:strCache>
            </c:strRef>
          </c:tx>
          <c:spPr>
            <a:ln w="635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Time!$AM$12:$AM$64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Time!$AT$12:$AT$64</c:f>
              <c:numCache>
                <c:formatCode>0.0%</c:formatCode>
                <c:ptCount val="53"/>
                <c:pt idx="0">
                  <c:v>0.14299999999999999</c:v>
                </c:pt>
                <c:pt idx="1">
                  <c:v>4.4000000000000004E-2</c:v>
                </c:pt>
                <c:pt idx="2">
                  <c:v>-5.7000000000000002E-2</c:v>
                </c:pt>
                <c:pt idx="3">
                  <c:v>-6.0000000000000001E-3</c:v>
                </c:pt>
                <c:pt idx="4">
                  <c:v>-3.0000000000000001E-3</c:v>
                </c:pt>
                <c:pt idx="5">
                  <c:v>-2.8000000000000001E-2</c:v>
                </c:pt>
                <c:pt idx="6">
                  <c:v>-7.4999999999999997E-2</c:v>
                </c:pt>
                <c:pt idx="7">
                  <c:v>-0.11</c:v>
                </c:pt>
                <c:pt idx="8">
                  <c:v>-0.17300000000000001</c:v>
                </c:pt>
                <c:pt idx="9">
                  <c:v>-0.11800000000000001</c:v>
                </c:pt>
                <c:pt idx="10">
                  <c:v>-6.2E-2</c:v>
                </c:pt>
                <c:pt idx="11">
                  <c:v>-0.13</c:v>
                </c:pt>
                <c:pt idx="12">
                  <c:v>-7.0000000000000007E-2</c:v>
                </c:pt>
                <c:pt idx="13">
                  <c:v>-0.18600000000000003</c:v>
                </c:pt>
                <c:pt idx="14">
                  <c:v>-0.14699999999999999</c:v>
                </c:pt>
                <c:pt idx="15">
                  <c:v>-0.13800000000000001</c:v>
                </c:pt>
                <c:pt idx="16">
                  <c:v>-0.17300000000000001</c:v>
                </c:pt>
                <c:pt idx="17">
                  <c:v>-0.155</c:v>
                </c:pt>
                <c:pt idx="18">
                  <c:v>-8.5000000000000006E-2</c:v>
                </c:pt>
                <c:pt idx="19">
                  <c:v>-0.11599999999999999</c:v>
                </c:pt>
                <c:pt idx="20">
                  <c:v>-0.126</c:v>
                </c:pt>
                <c:pt idx="21">
                  <c:v>-0.156</c:v>
                </c:pt>
                <c:pt idx="22">
                  <c:v>-0.14300000000000002</c:v>
                </c:pt>
                <c:pt idx="23">
                  <c:v>-0.15</c:v>
                </c:pt>
                <c:pt idx="24">
                  <c:v>-0.13600000000000001</c:v>
                </c:pt>
                <c:pt idx="25">
                  <c:v>-0.158</c:v>
                </c:pt>
                <c:pt idx="26">
                  <c:v>-0.28300000000000003</c:v>
                </c:pt>
                <c:pt idx="27">
                  <c:v>-0.22699999999999998</c:v>
                </c:pt>
                <c:pt idx="28">
                  <c:v>-0.21899999999999997</c:v>
                </c:pt>
                <c:pt idx="29">
                  <c:v>-0.14300000000000002</c:v>
                </c:pt>
                <c:pt idx="30">
                  <c:v>-0.14699999999999999</c:v>
                </c:pt>
                <c:pt idx="31">
                  <c:v>-7.4999999999999997E-2</c:v>
                </c:pt>
                <c:pt idx="32">
                  <c:v>-0.217</c:v>
                </c:pt>
                <c:pt idx="33">
                  <c:v>-0.17600000000000002</c:v>
                </c:pt>
                <c:pt idx="34">
                  <c:v>-0.17100000000000001</c:v>
                </c:pt>
                <c:pt idx="35">
                  <c:v>-0.153</c:v>
                </c:pt>
                <c:pt idx="36">
                  <c:v>-0.21</c:v>
                </c:pt>
                <c:pt idx="37">
                  <c:v>-0.23300000000000001</c:v>
                </c:pt>
                <c:pt idx="38">
                  <c:v>-0.13699999999999998</c:v>
                </c:pt>
                <c:pt idx="39">
                  <c:v>-0.182</c:v>
                </c:pt>
                <c:pt idx="40">
                  <c:v>-0.19500000000000001</c:v>
                </c:pt>
                <c:pt idx="41">
                  <c:v>-9.6999999999999989E-2</c:v>
                </c:pt>
                <c:pt idx="42">
                  <c:v>-0.13100000000000001</c:v>
                </c:pt>
                <c:pt idx="43">
                  <c:v>-7.4999999999999997E-2</c:v>
                </c:pt>
                <c:pt idx="44">
                  <c:v>-0.13699999999999998</c:v>
                </c:pt>
                <c:pt idx="45">
                  <c:v>-0.11</c:v>
                </c:pt>
                <c:pt idx="46">
                  <c:v>-0.14099999999999999</c:v>
                </c:pt>
                <c:pt idx="47">
                  <c:v>-7.8E-2</c:v>
                </c:pt>
                <c:pt idx="48">
                  <c:v>-6.6000000000000003E-2</c:v>
                </c:pt>
                <c:pt idx="49">
                  <c:v>-0.129</c:v>
                </c:pt>
                <c:pt idx="50">
                  <c:v>-9.6999999999999989E-2</c:v>
                </c:pt>
                <c:pt idx="51">
                  <c:v>-6.2E-2</c:v>
                </c:pt>
                <c:pt idx="52">
                  <c:v>-4.8000000000000001E-2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5-2548-8B21-6A75AF1234F1}"/>
            </c:ext>
          </c:extLst>
        </c:ser>
        <c:ser>
          <c:idx val="7"/>
          <c:order val="7"/>
          <c:tx>
            <c:strRef>
              <c:f>Time!$AU$11</c:f>
              <c:strCache>
                <c:ptCount val="1"/>
                <c:pt idx="0">
                  <c:v>Waste</c:v>
                </c:pt>
              </c:strCache>
            </c:strRef>
          </c:tx>
          <c:spPr>
            <a:ln w="635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7"/>
            <c:marker>
              <c:symbol val="none"/>
            </c:marker>
            <c:bubble3D val="0"/>
            <c:spPr>
              <a:ln w="6350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DB-4445-9932-4EBBD97B630F}"/>
              </c:ext>
            </c:extLst>
          </c:dPt>
          <c:cat>
            <c:numRef>
              <c:f>Time!$AM$12:$AM$64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Time!$AU$12:$AU$64</c:f>
              <c:numCache>
                <c:formatCode>General</c:formatCode>
                <c:ptCount val="53"/>
                <c:pt idx="36" formatCode="0.0%">
                  <c:v>-0.27200000000000002</c:v>
                </c:pt>
                <c:pt idx="37" formatCode="0.0%">
                  <c:v>-0.21</c:v>
                </c:pt>
                <c:pt idx="38" formatCode="0.0%">
                  <c:v>-0.14099999999999999</c:v>
                </c:pt>
                <c:pt idx="39" formatCode="0.0%">
                  <c:v>-0.24399999999999999</c:v>
                </c:pt>
                <c:pt idx="40" formatCode="0.0%">
                  <c:v>-0.19500000000000001</c:v>
                </c:pt>
                <c:pt idx="41" formatCode="0.0%">
                  <c:v>-0.182</c:v>
                </c:pt>
                <c:pt idx="42" formatCode="0.0%">
                  <c:v>-0.13900000000000001</c:v>
                </c:pt>
                <c:pt idx="43" formatCode="0.0%">
                  <c:v>-0.20499999999999999</c:v>
                </c:pt>
                <c:pt idx="44" formatCode="0.0%">
                  <c:v>-0.16600000000000001</c:v>
                </c:pt>
                <c:pt idx="45" formatCode="0.0%">
                  <c:v>-0.16500000000000001</c:v>
                </c:pt>
                <c:pt idx="46" formatCode="0.0%">
                  <c:v>-0.17199999999999999</c:v>
                </c:pt>
                <c:pt idx="47" formatCode="0.0%">
                  <c:v>-0.10300000000000001</c:v>
                </c:pt>
                <c:pt idx="48" formatCode="0.0%">
                  <c:v>-7.4999999999999997E-2</c:v>
                </c:pt>
                <c:pt idx="49" formatCode="0.0%">
                  <c:v>-0.14400000000000002</c:v>
                </c:pt>
                <c:pt idx="50" formatCode="0.0%">
                  <c:v>-6.8000000000000005E-2</c:v>
                </c:pt>
                <c:pt idx="51" formatCode="0.0%">
                  <c:v>-5.7000000000000002E-2</c:v>
                </c:pt>
                <c:pt idx="52" formatCode="0.0%">
                  <c:v>-6.3E-2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5-2548-8B21-6A75AF1234F1}"/>
            </c:ext>
          </c:extLst>
        </c:ser>
        <c:ser>
          <c:idx val="8"/>
          <c:order val="8"/>
          <c:tx>
            <c:strRef>
              <c:f>Time!$AV$11</c:f>
              <c:strCache>
                <c:ptCount val="1"/>
                <c:pt idx="0">
                  <c:v>Housing</c:v>
                </c:pt>
              </c:strCache>
            </c:strRef>
          </c:tx>
          <c:spPr>
            <a:ln w="635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Time!$AM$12:$AM$64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Time!$AV$12:$AV$64</c:f>
              <c:numCache>
                <c:formatCode>General</c:formatCode>
                <c:ptCount val="53"/>
                <c:pt idx="36" formatCode="0.00%">
                  <c:v>-7.5999999999999998E-2</c:v>
                </c:pt>
                <c:pt idx="37" formatCode="0.0%">
                  <c:v>-1.8000000000000002E-2</c:v>
                </c:pt>
                <c:pt idx="38" formatCode="0.0%">
                  <c:v>-2.1000000000000001E-2</c:v>
                </c:pt>
                <c:pt idx="39" formatCode="0.0%">
                  <c:v>7.0000000000000001E-3</c:v>
                </c:pt>
                <c:pt idx="40" formatCode="0.0%">
                  <c:v>8.0000000000000002E-3</c:v>
                </c:pt>
                <c:pt idx="41" formatCode="0.0%">
                  <c:v>-4.2000000000000003E-2</c:v>
                </c:pt>
                <c:pt idx="42" formatCode="0.0%">
                  <c:v>6.6000000000000003E-2</c:v>
                </c:pt>
                <c:pt idx="43" formatCode="0.0%">
                  <c:v>0.06</c:v>
                </c:pt>
                <c:pt idx="44" formatCode="0.0%">
                  <c:v>0.10400000000000001</c:v>
                </c:pt>
                <c:pt idx="45" formatCode="0.0%">
                  <c:v>2.6000000000000002E-2</c:v>
                </c:pt>
                <c:pt idx="46" formatCode="0.0%">
                  <c:v>8.9999999999999993E-3</c:v>
                </c:pt>
                <c:pt idx="47" formatCode="0.0%">
                  <c:v>6.6000000000000003E-2</c:v>
                </c:pt>
                <c:pt idx="48" formatCode="0.0%">
                  <c:v>6.2E-2</c:v>
                </c:pt>
                <c:pt idx="49" formatCode="0.0%">
                  <c:v>2.1000000000000001E-2</c:v>
                </c:pt>
                <c:pt idx="50" formatCode="0.0%">
                  <c:v>3.6000000000000004E-2</c:v>
                </c:pt>
                <c:pt idx="51" formatCode="0.0%">
                  <c:v>5.2999999999999999E-2</c:v>
                </c:pt>
                <c:pt idx="52" formatCode="0.0%">
                  <c:v>0.10199999999999999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45-2548-8B21-6A75AF1234F1}"/>
            </c:ext>
          </c:extLst>
        </c:ser>
        <c:ser>
          <c:idx val="9"/>
          <c:order val="9"/>
          <c:tx>
            <c:strRef>
              <c:f>Time!$AW$11</c:f>
              <c:strCache>
                <c:ptCount val="1"/>
                <c:pt idx="0">
                  <c:v>Environment</c:v>
                </c:pt>
              </c:strCache>
            </c:strRef>
          </c:tx>
          <c:spPr>
            <a:ln w="635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7"/>
            <c:marker>
              <c:symbol val="none"/>
            </c:marker>
            <c:bubble3D val="0"/>
            <c:spPr>
              <a:ln w="6350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DB-4445-9932-4EBBD97B630F}"/>
              </c:ext>
            </c:extLst>
          </c:dPt>
          <c:cat>
            <c:numRef>
              <c:f>Time!$AM$12:$AM$64</c:f>
              <c:numCache>
                <c:formatCode>mmm\-yy</c:formatCode>
                <c:ptCount val="53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</c:numCache>
            </c:numRef>
          </c:cat>
          <c:val>
            <c:numRef>
              <c:f>Time!$AW$12:$AW$64</c:f>
              <c:numCache>
                <c:formatCode>General</c:formatCode>
                <c:ptCount val="53"/>
                <c:pt idx="36" formatCode="0.0%">
                  <c:v>-8.1000000000000003E-2</c:v>
                </c:pt>
                <c:pt idx="37" formatCode="0.0%">
                  <c:v>-9.3000000000000013E-2</c:v>
                </c:pt>
                <c:pt idx="38" formatCode="0.0%">
                  <c:v>-6.4000000000000001E-2</c:v>
                </c:pt>
                <c:pt idx="39" formatCode="0.0%">
                  <c:v>-0.11199999999999999</c:v>
                </c:pt>
                <c:pt idx="40" formatCode="0.0%">
                  <c:v>-4.4000000000000004E-2</c:v>
                </c:pt>
                <c:pt idx="41" formatCode="0.00%">
                  <c:v>-4.0000000000000001E-3</c:v>
                </c:pt>
                <c:pt idx="42" formatCode="0.0%">
                  <c:v>5.0000000000000001E-3</c:v>
                </c:pt>
                <c:pt idx="43" formatCode="0.0%">
                  <c:v>-0.01</c:v>
                </c:pt>
                <c:pt idx="44" formatCode="0.0%">
                  <c:v>6.0999999999999999E-2</c:v>
                </c:pt>
                <c:pt idx="45" formatCode="0.0%">
                  <c:v>-4.0000000000000001E-3</c:v>
                </c:pt>
                <c:pt idx="46" formatCode="0.0%">
                  <c:v>1.3000000000000001E-2</c:v>
                </c:pt>
                <c:pt idx="47" formatCode="0.0%">
                  <c:v>2.2000000000000002E-2</c:v>
                </c:pt>
                <c:pt idx="48" formatCode="0.0%">
                  <c:v>4.5999999999999999E-2</c:v>
                </c:pt>
                <c:pt idx="49" formatCode="0.0%">
                  <c:v>-4.9000000000000002E-2</c:v>
                </c:pt>
                <c:pt idx="50" formatCode="0.0%">
                  <c:v>-3.9E-2</c:v>
                </c:pt>
                <c:pt idx="51" formatCode="0.0%">
                  <c:v>2.1000000000000001E-2</c:v>
                </c:pt>
                <c:pt idx="52" formatCode="0.0%">
                  <c:v>7.0999999999999994E-2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45-2548-8B21-6A75AF123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238360"/>
        <c:axId val="439237704"/>
        <c:extLst/>
      </c:lineChart>
      <c:dateAx>
        <c:axId val="4392383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37704"/>
        <c:crosses val="autoZero"/>
        <c:auto val="1"/>
        <c:lblOffset val="100"/>
        <c:baseTimeUnit val="months"/>
      </c:dateAx>
      <c:valAx>
        <c:axId val="43923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3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C2324E-FBE9-6C4B-8C2D-A4098CF88860}">
  <sheetPr/>
  <sheetViews>
    <sheetView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E6D3E3-F4E1-0249-B8D6-51B0DA875633}">
  <sheetPr/>
  <sheetViews>
    <sheetView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3D7B51-47AA-E245-985D-FB4F4A0B9F1B}">
  <sheetPr/>
  <sheetViews>
    <sheetView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20A348-9069-DE4F-9EE4-997E3EF31F0B}">
  <sheetPr/>
  <sheetViews>
    <sheetView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048115-EA03-4996-BD1F-DCC2F0523915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D410F1-FD5F-43B3-AD1A-3718FEF3BFC4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17F557-122C-4727-8770-CD566ADA71E0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62F63F-F45E-4451-B8B7-3A268B4256ED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88A205-7646-41ED-9DF4-3FE26BC5CFAD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577005-F0EF-4D05-A2E3-4FC987B78F0E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ECE13F-504D-D04E-A709-280B4EF907D9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43C257-4DA9-4DCE-860D-2C3F25D51A6A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27C10D-B0A6-4B00-9603-022FAF3A9684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CADF71-28A0-4C26-BA42-9D978EEE6788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5D65E8-7B76-4683-8636-43653D78486D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A56A55-31B5-483B-BDE9-5FBD109C8C6C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231057-5650-4F3B-B129-F5A02C41BD34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DB19FC-497E-2042-8BD4-A1A6BE11388C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BD4BBC-9B30-444C-8EE9-4B8F6B6CA35B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4D10411-5DF5-5045-AE8A-063B7064F683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BDA6AF-36DC-4BAB-BE0F-B69926E7D849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F4BA95-B523-FB4A-BB32-7F5925B788C6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D9C0C9-39AD-F54A-B3B9-98B743D0C187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EE43C9-DE9D-4664-A572-98E85E9C11D9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5E6BC5-3530-4874-AEC3-AE1653931F0D}">
  <sheetPr/>
  <sheetViews>
    <sheetView tabSelected="1"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1F4FE-B1BB-3B73-1A8B-F66B9BD277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BD2ED7-2073-B6FE-25F4-EF03566C54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D4857-2371-53E6-48AA-6867631271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A8B4A-D6E0-CA25-EA0D-3BE1512160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2A8D9-0934-4A56-BF8F-813182239E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51774-F9A8-E7C6-37CC-528D3A065D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CDB4B-4B42-43A6-B43E-4F3F181A0F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CE360-A58E-451A-8A3C-5459BA4912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D38E9-C8E8-BB3C-6566-F103F3393F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185EC-65AC-9383-92E1-3EFD5327D9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A728C-6C5E-F72A-3258-1C81B8A115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81B59-809E-4E5C-9ABF-66A5186D67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4F167-3D89-4FC6-AEDB-80C6DEDB3A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0B6BA-0220-4918-94E4-397EFE3F32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0DA16D-2285-45EF-BF61-F8F415D8D5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068F9-618E-4BCE-AFB3-D50C05A23E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95D0D-21EB-4328-9ECA-D513C04616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DC18F-7985-1820-E836-086C537F46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366E1-41D7-4575-84DF-BC6F70A900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9124A3-276E-B0EF-DD74-7CB94C7208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24BC2-F280-4B75-A991-601CFDFB55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0A323-871A-B43F-5247-E16778F7E8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6277C-254B-AFB9-9D56-8684B2D7F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6489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EDBAA-E41A-4286-BFD5-AA41A635D2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677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EB905-0731-478A-9A98-2359197385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10A4-6A89-49BF-A9A3-31ADDC5699EC}">
  <dimension ref="A1:X251"/>
  <sheetViews>
    <sheetView topLeftCell="A210" zoomScale="137" workbookViewId="0">
      <selection activeCell="E219" sqref="A1:XFD1048576"/>
    </sheetView>
  </sheetViews>
  <sheetFormatPr baseColWidth="10" defaultColWidth="8.83203125" defaultRowHeight="15" x14ac:dyDescent="0.2"/>
  <cols>
    <col min="1" max="1" width="16.33203125" customWidth="1"/>
    <col min="11" max="11" width="20.5" customWidth="1"/>
  </cols>
  <sheetData>
    <row r="1" spans="1:12" x14ac:dyDescent="0.2">
      <c r="E1" s="8" t="s">
        <v>74</v>
      </c>
    </row>
    <row r="3" spans="1:12" x14ac:dyDescent="0.2">
      <c r="A3" t="s">
        <v>0</v>
      </c>
      <c r="F3" t="s">
        <v>10</v>
      </c>
      <c r="G3" t="s">
        <v>9</v>
      </c>
      <c r="H3" t="s">
        <v>0</v>
      </c>
    </row>
    <row r="4" spans="1:12" x14ac:dyDescent="0.2">
      <c r="A4" t="s">
        <v>1</v>
      </c>
      <c r="B4">
        <v>290</v>
      </c>
      <c r="C4" s="2">
        <f>B4/$B$13</f>
        <v>0.30334728033472802</v>
      </c>
      <c r="E4" t="s">
        <v>1</v>
      </c>
      <c r="F4" s="3">
        <f>F30</f>
        <v>0.34371395617070355</v>
      </c>
      <c r="G4" s="3">
        <f>F17</f>
        <v>0.31204188481675393</v>
      </c>
      <c r="H4" s="3">
        <f>C4</f>
        <v>0.30334728033472802</v>
      </c>
    </row>
    <row r="5" spans="1:12" x14ac:dyDescent="0.2">
      <c r="A5" t="s">
        <v>4</v>
      </c>
      <c r="B5">
        <v>63</v>
      </c>
      <c r="C5" s="2">
        <f t="shared" ref="C5:C11" si="0">B5/$B$13</f>
        <v>6.5899581589958164E-2</v>
      </c>
      <c r="E5" t="s">
        <v>4</v>
      </c>
      <c r="F5" s="3">
        <f>F31</f>
        <v>7.7277970011534025E-2</v>
      </c>
      <c r="G5" s="3">
        <f t="shared" ref="G5:G11" si="1">F18</f>
        <v>7.0157068062827219E-2</v>
      </c>
      <c r="H5" s="3">
        <f t="shared" ref="H5:H11" si="2">C5</f>
        <v>6.5899581589958164E-2</v>
      </c>
      <c r="L5" s="5"/>
    </row>
    <row r="6" spans="1:12" x14ac:dyDescent="0.2">
      <c r="A6" t="s">
        <v>5</v>
      </c>
      <c r="B6">
        <v>26</v>
      </c>
      <c r="C6" s="2">
        <f t="shared" si="0"/>
        <v>2.7196652719665274E-2</v>
      </c>
      <c r="E6" t="s">
        <v>5</v>
      </c>
      <c r="F6" s="3">
        <f>F32</f>
        <v>2.9988465974625143E-2</v>
      </c>
      <c r="G6" s="3">
        <f t="shared" si="1"/>
        <v>2.7225130890052355E-2</v>
      </c>
      <c r="H6" s="3">
        <f t="shared" si="2"/>
        <v>2.7196652719665274E-2</v>
      </c>
      <c r="L6" s="5"/>
    </row>
    <row r="7" spans="1:12" x14ac:dyDescent="0.2">
      <c r="A7" t="s">
        <v>8</v>
      </c>
      <c r="B7">
        <v>141</v>
      </c>
      <c r="C7" s="2">
        <f t="shared" si="0"/>
        <v>0.14748953974895398</v>
      </c>
      <c r="E7" t="s">
        <v>8</v>
      </c>
      <c r="F7" s="3"/>
      <c r="G7" s="3">
        <f t="shared" si="1"/>
        <v>9.2146596858638741E-2</v>
      </c>
      <c r="H7" s="3">
        <f t="shared" si="2"/>
        <v>0.14748953974895398</v>
      </c>
      <c r="L7" s="5"/>
    </row>
    <row r="8" spans="1:12" x14ac:dyDescent="0.2">
      <c r="A8" t="s">
        <v>7</v>
      </c>
      <c r="B8">
        <v>36</v>
      </c>
      <c r="C8" s="2">
        <f t="shared" si="0"/>
        <v>3.7656903765690378E-2</v>
      </c>
      <c r="E8" t="s">
        <v>7</v>
      </c>
      <c r="F8" s="3">
        <f>F33</f>
        <v>4.4982698961937718E-2</v>
      </c>
      <c r="G8" s="3">
        <f t="shared" si="1"/>
        <v>4.0837696335078534E-2</v>
      </c>
      <c r="H8" s="3">
        <f t="shared" si="2"/>
        <v>3.7656903765690378E-2</v>
      </c>
      <c r="L8" s="5"/>
    </row>
    <row r="9" spans="1:12" x14ac:dyDescent="0.2">
      <c r="A9" t="s">
        <v>6</v>
      </c>
      <c r="B9">
        <v>97</v>
      </c>
      <c r="C9" s="2">
        <f t="shared" si="0"/>
        <v>0.10146443514644352</v>
      </c>
      <c r="E9" t="s">
        <v>6</v>
      </c>
      <c r="F9" s="3">
        <f>F34</f>
        <v>0.11880046136101499</v>
      </c>
      <c r="G9" s="3">
        <f t="shared" si="1"/>
        <v>0.10785340314136126</v>
      </c>
      <c r="H9" s="3">
        <f t="shared" si="2"/>
        <v>0.10146443514644352</v>
      </c>
      <c r="L9" s="5"/>
    </row>
    <row r="10" spans="1:12" x14ac:dyDescent="0.2">
      <c r="A10" t="s">
        <v>3</v>
      </c>
      <c r="B10">
        <v>58</v>
      </c>
      <c r="C10" s="2">
        <f t="shared" si="0"/>
        <v>6.0669456066945605E-2</v>
      </c>
      <c r="E10" t="s">
        <v>3</v>
      </c>
      <c r="F10" s="3">
        <f>F35</f>
        <v>7.0357554786620535E-2</v>
      </c>
      <c r="G10" s="3">
        <f t="shared" si="1"/>
        <v>6.3874345549738226E-2</v>
      </c>
      <c r="H10" s="3">
        <f t="shared" si="2"/>
        <v>6.0669456066945605E-2</v>
      </c>
    </row>
    <row r="11" spans="1:12" x14ac:dyDescent="0.2">
      <c r="A11" t="s">
        <v>2</v>
      </c>
      <c r="B11">
        <v>245</v>
      </c>
      <c r="C11" s="2">
        <f t="shared" si="0"/>
        <v>0.25627615062761505</v>
      </c>
      <c r="E11" t="s">
        <v>2</v>
      </c>
      <c r="F11" s="3">
        <f>F36</f>
        <v>0.31487889273356401</v>
      </c>
      <c r="G11" s="3">
        <f t="shared" si="1"/>
        <v>0.28586387434554972</v>
      </c>
      <c r="H11" s="3">
        <f t="shared" si="2"/>
        <v>0.25627615062761505</v>
      </c>
    </row>
    <row r="13" spans="1:12" x14ac:dyDescent="0.2">
      <c r="B13">
        <f>SUM(B4:B11)</f>
        <v>956</v>
      </c>
    </row>
    <row r="15" spans="1:12" x14ac:dyDescent="0.2">
      <c r="A15" t="s">
        <v>9</v>
      </c>
    </row>
    <row r="17" spans="1:9" x14ac:dyDescent="0.2">
      <c r="A17" t="s">
        <v>1</v>
      </c>
      <c r="B17">
        <v>298</v>
      </c>
      <c r="C17" s="2">
        <f>B17/$B$26</f>
        <v>0.31204188481675393</v>
      </c>
      <c r="E17" t="s">
        <v>1</v>
      </c>
      <c r="F17" s="3">
        <f>C17</f>
        <v>0.31204188481675393</v>
      </c>
    </row>
    <row r="18" spans="1:9" x14ac:dyDescent="0.2">
      <c r="A18" t="s">
        <v>4</v>
      </c>
      <c r="B18">
        <v>67</v>
      </c>
      <c r="C18" s="2">
        <f t="shared" ref="C18:C24" si="3">B18/$B$26</f>
        <v>7.0157068062827219E-2</v>
      </c>
      <c r="E18" t="s">
        <v>4</v>
      </c>
      <c r="F18" s="3">
        <f t="shared" ref="F18:F24" si="4">C18</f>
        <v>7.0157068062827219E-2</v>
      </c>
    </row>
    <row r="19" spans="1:9" x14ac:dyDescent="0.2">
      <c r="A19" t="s">
        <v>5</v>
      </c>
      <c r="B19">
        <v>26</v>
      </c>
      <c r="C19" s="2">
        <f t="shared" si="3"/>
        <v>2.7225130890052355E-2</v>
      </c>
      <c r="E19" t="s">
        <v>5</v>
      </c>
      <c r="F19" s="3">
        <f t="shared" si="4"/>
        <v>2.7225130890052355E-2</v>
      </c>
    </row>
    <row r="20" spans="1:9" x14ac:dyDescent="0.2">
      <c r="A20" t="s">
        <v>8</v>
      </c>
      <c r="B20">
        <v>88</v>
      </c>
      <c r="C20" s="2">
        <f t="shared" si="3"/>
        <v>9.2146596858638741E-2</v>
      </c>
      <c r="E20" t="s">
        <v>8</v>
      </c>
      <c r="F20" s="3">
        <f t="shared" si="4"/>
        <v>9.2146596858638741E-2</v>
      </c>
    </row>
    <row r="21" spans="1:9" x14ac:dyDescent="0.2">
      <c r="A21" t="s">
        <v>7</v>
      </c>
      <c r="B21">
        <v>39</v>
      </c>
      <c r="C21" s="2">
        <f t="shared" si="3"/>
        <v>4.0837696335078534E-2</v>
      </c>
      <c r="E21" t="s">
        <v>7</v>
      </c>
      <c r="F21" s="3">
        <f t="shared" si="4"/>
        <v>4.0837696335078534E-2</v>
      </c>
    </row>
    <row r="22" spans="1:9" x14ac:dyDescent="0.2">
      <c r="A22" t="s">
        <v>6</v>
      </c>
      <c r="B22">
        <v>103</v>
      </c>
      <c r="C22" s="2">
        <f t="shared" si="3"/>
        <v>0.10785340314136126</v>
      </c>
      <c r="E22" t="s">
        <v>6</v>
      </c>
      <c r="F22" s="3">
        <f t="shared" si="4"/>
        <v>0.10785340314136126</v>
      </c>
    </row>
    <row r="23" spans="1:9" x14ac:dyDescent="0.2">
      <c r="A23" t="s">
        <v>3</v>
      </c>
      <c r="B23">
        <v>61</v>
      </c>
      <c r="C23" s="2">
        <f t="shared" si="3"/>
        <v>6.3874345549738226E-2</v>
      </c>
      <c r="E23" t="s">
        <v>3</v>
      </c>
      <c r="F23" s="3">
        <f t="shared" si="4"/>
        <v>6.3874345549738226E-2</v>
      </c>
    </row>
    <row r="24" spans="1:9" x14ac:dyDescent="0.2">
      <c r="A24" t="s">
        <v>2</v>
      </c>
      <c r="B24">
        <v>273</v>
      </c>
      <c r="C24" s="2">
        <f t="shared" si="3"/>
        <v>0.28586387434554972</v>
      </c>
      <c r="E24" t="s">
        <v>2</v>
      </c>
      <c r="F24" s="3">
        <f t="shared" si="4"/>
        <v>0.28586387434554972</v>
      </c>
    </row>
    <row r="26" spans="1:9" x14ac:dyDescent="0.2">
      <c r="B26">
        <f>SUM(B17:B24)</f>
        <v>955</v>
      </c>
    </row>
    <row r="28" spans="1:9" x14ac:dyDescent="0.2">
      <c r="A28" t="s">
        <v>10</v>
      </c>
    </row>
    <row r="30" spans="1:9" x14ac:dyDescent="0.2">
      <c r="A30" t="s">
        <v>1</v>
      </c>
      <c r="B30">
        <f>B17</f>
        <v>298</v>
      </c>
      <c r="C30" s="2">
        <f>B30/$B$38</f>
        <v>0.34371395617070355</v>
      </c>
      <c r="E30" t="s">
        <v>1</v>
      </c>
      <c r="F30" s="3">
        <f>C30</f>
        <v>0.34371395617070355</v>
      </c>
      <c r="H30" t="s">
        <v>118</v>
      </c>
      <c r="I30" s="2">
        <v>1.6E-2</v>
      </c>
    </row>
    <row r="31" spans="1:9" x14ac:dyDescent="0.2">
      <c r="A31" t="s">
        <v>4</v>
      </c>
      <c r="B31">
        <f>B18</f>
        <v>67</v>
      </c>
      <c r="C31" s="2">
        <f t="shared" ref="C31:C36" si="5">B31/$B$38</f>
        <v>7.7277970011534025E-2</v>
      </c>
      <c r="E31" t="s">
        <v>4</v>
      </c>
      <c r="F31" s="3">
        <f t="shared" ref="F31:F36" si="6">C31</f>
        <v>7.7277970011534025E-2</v>
      </c>
      <c r="H31" t="s">
        <v>125</v>
      </c>
      <c r="I31" s="2">
        <v>6.0000000000000001E-3</v>
      </c>
    </row>
    <row r="32" spans="1:9" x14ac:dyDescent="0.2">
      <c r="A32" t="s">
        <v>5</v>
      </c>
      <c r="B32">
        <f>B19</f>
        <v>26</v>
      </c>
      <c r="C32" s="2">
        <f t="shared" si="5"/>
        <v>2.9988465974625143E-2</v>
      </c>
      <c r="E32" t="s">
        <v>5</v>
      </c>
      <c r="F32" s="3">
        <f t="shared" si="6"/>
        <v>2.9988465974625143E-2</v>
      </c>
      <c r="H32" t="s">
        <v>119</v>
      </c>
      <c r="I32" s="2">
        <v>0.01</v>
      </c>
    </row>
    <row r="33" spans="1:10" x14ac:dyDescent="0.2">
      <c r="A33" t="s">
        <v>7</v>
      </c>
      <c r="B33">
        <f>B21</f>
        <v>39</v>
      </c>
      <c r="C33" s="2">
        <f t="shared" si="5"/>
        <v>4.4982698961937718E-2</v>
      </c>
      <c r="E33" t="s">
        <v>7</v>
      </c>
      <c r="F33" s="3">
        <f t="shared" si="6"/>
        <v>4.4982698961937718E-2</v>
      </c>
      <c r="H33" t="s">
        <v>152</v>
      </c>
      <c r="I33" s="2">
        <v>2.3E-2</v>
      </c>
    </row>
    <row r="34" spans="1:10" x14ac:dyDescent="0.2">
      <c r="A34" t="s">
        <v>6</v>
      </c>
      <c r="B34">
        <f>B22</f>
        <v>103</v>
      </c>
      <c r="C34" s="2">
        <f t="shared" si="5"/>
        <v>0.11880046136101499</v>
      </c>
      <c r="E34" t="s">
        <v>6</v>
      </c>
      <c r="F34" s="3">
        <f t="shared" si="6"/>
        <v>0.11880046136101499</v>
      </c>
    </row>
    <row r="35" spans="1:10" x14ac:dyDescent="0.2">
      <c r="A35" t="s">
        <v>3</v>
      </c>
      <c r="B35">
        <f>B23</f>
        <v>61</v>
      </c>
      <c r="C35" s="2">
        <f t="shared" si="5"/>
        <v>7.0357554786620535E-2</v>
      </c>
      <c r="E35" t="s">
        <v>3</v>
      </c>
      <c r="F35" s="3">
        <f t="shared" si="6"/>
        <v>7.0357554786620535E-2</v>
      </c>
    </row>
    <row r="36" spans="1:10" x14ac:dyDescent="0.2">
      <c r="A36" t="s">
        <v>2</v>
      </c>
      <c r="B36">
        <f>B24</f>
        <v>273</v>
      </c>
      <c r="C36" s="2">
        <f t="shared" si="5"/>
        <v>0.31487889273356401</v>
      </c>
      <c r="E36" t="s">
        <v>2</v>
      </c>
      <c r="F36" s="3">
        <f t="shared" si="6"/>
        <v>0.31487889273356401</v>
      </c>
    </row>
    <row r="38" spans="1:10" x14ac:dyDescent="0.2">
      <c r="B38">
        <f>SUM(B30:B36)</f>
        <v>867</v>
      </c>
      <c r="C38" s="3">
        <f>SUM(C30:C36)</f>
        <v>1</v>
      </c>
    </row>
    <row r="40" spans="1:10" x14ac:dyDescent="0.2">
      <c r="A40" s="8" t="s">
        <v>76</v>
      </c>
    </row>
    <row r="42" spans="1:10" x14ac:dyDescent="0.2">
      <c r="A42" t="s">
        <v>1</v>
      </c>
      <c r="B42">
        <v>43</v>
      </c>
      <c r="E42" t="s">
        <v>1</v>
      </c>
      <c r="F42">
        <f>B30</f>
        <v>298</v>
      </c>
      <c r="G42" s="2">
        <f>F42/$F$50</f>
        <v>0.34371395617070355</v>
      </c>
      <c r="I42" t="s">
        <v>63</v>
      </c>
      <c r="J42">
        <f>B47+B46+B45</f>
        <v>63</v>
      </c>
    </row>
    <row r="43" spans="1:10" x14ac:dyDescent="0.2">
      <c r="A43" t="s">
        <v>4</v>
      </c>
      <c r="B43">
        <v>10</v>
      </c>
      <c r="E43" t="s">
        <v>4</v>
      </c>
      <c r="F43">
        <f t="shared" ref="F43:F48" si="7">B31</f>
        <v>67</v>
      </c>
      <c r="G43" s="2">
        <f t="shared" ref="G43:G48" si="8">F43/$F$50</f>
        <v>7.7277970011534025E-2</v>
      </c>
      <c r="I43" t="s">
        <v>62</v>
      </c>
      <c r="J43">
        <f>B42+B43+B44</f>
        <v>57</v>
      </c>
    </row>
    <row r="44" spans="1:10" x14ac:dyDescent="0.2">
      <c r="A44" t="s">
        <v>5</v>
      </c>
      <c r="B44">
        <v>4</v>
      </c>
      <c r="E44" t="s">
        <v>5</v>
      </c>
      <c r="F44">
        <f t="shared" si="7"/>
        <v>26</v>
      </c>
      <c r="G44" s="2">
        <f t="shared" si="8"/>
        <v>2.9988465974625143E-2</v>
      </c>
    </row>
    <row r="45" spans="1:10" x14ac:dyDescent="0.2">
      <c r="A45" t="s">
        <v>6</v>
      </c>
      <c r="B45">
        <v>15</v>
      </c>
      <c r="E45" t="s">
        <v>7</v>
      </c>
      <c r="F45">
        <f t="shared" si="7"/>
        <v>39</v>
      </c>
      <c r="G45" s="2">
        <f t="shared" si="8"/>
        <v>4.4982698961937718E-2</v>
      </c>
    </row>
    <row r="46" spans="1:10" x14ac:dyDescent="0.2">
      <c r="A46" t="s">
        <v>3</v>
      </c>
      <c r="B46">
        <v>9</v>
      </c>
      <c r="E46" t="s">
        <v>6</v>
      </c>
      <c r="F46">
        <f>B34</f>
        <v>103</v>
      </c>
      <c r="G46" s="2">
        <f t="shared" si="8"/>
        <v>0.11880046136101499</v>
      </c>
    </row>
    <row r="47" spans="1:10" x14ac:dyDescent="0.2">
      <c r="A47" t="s">
        <v>2</v>
      </c>
      <c r="B47">
        <v>39</v>
      </c>
      <c r="E47" t="s">
        <v>3</v>
      </c>
      <c r="F47">
        <f t="shared" si="7"/>
        <v>61</v>
      </c>
      <c r="G47" s="2">
        <f t="shared" si="8"/>
        <v>7.0357554786620535E-2</v>
      </c>
    </row>
    <row r="48" spans="1:10" x14ac:dyDescent="0.2">
      <c r="E48" t="s">
        <v>2</v>
      </c>
      <c r="F48">
        <f t="shared" si="7"/>
        <v>273</v>
      </c>
      <c r="G48" s="2">
        <f t="shared" si="8"/>
        <v>0.31487889273356401</v>
      </c>
    </row>
    <row r="49" spans="1:11" x14ac:dyDescent="0.2">
      <c r="B49">
        <f>SUM(B42:B47)</f>
        <v>120</v>
      </c>
    </row>
    <row r="50" spans="1:11" x14ac:dyDescent="0.2">
      <c r="F50">
        <f>SUM(F42:F48)</f>
        <v>867</v>
      </c>
    </row>
    <row r="51" spans="1:11" x14ac:dyDescent="0.2">
      <c r="A51" s="8" t="s">
        <v>84</v>
      </c>
    </row>
    <row r="52" spans="1:11" x14ac:dyDescent="0.2">
      <c r="H52" t="s">
        <v>112</v>
      </c>
      <c r="I52" t="s">
        <v>113</v>
      </c>
      <c r="J52" t="s">
        <v>138</v>
      </c>
      <c r="K52" t="s">
        <v>143</v>
      </c>
    </row>
    <row r="53" spans="1:11" ht="16" x14ac:dyDescent="0.2">
      <c r="A53" t="s">
        <v>97</v>
      </c>
      <c r="B53" s="12">
        <v>47</v>
      </c>
      <c r="C53" s="2">
        <f>B53/$B$76</f>
        <v>4.7522750252780584E-2</v>
      </c>
      <c r="D53" s="12"/>
      <c r="E53" s="12"/>
      <c r="F53" s="10">
        <f>B53+D53+E53</f>
        <v>47</v>
      </c>
      <c r="G53" s="8" t="str">
        <f t="shared" ref="G53:G73" si="9">A53</f>
        <v>Employment</v>
      </c>
      <c r="H53" s="3">
        <f t="shared" ref="H53:H74" si="10">C53</f>
        <v>4.7522750252780584E-2</v>
      </c>
      <c r="I53" s="2"/>
      <c r="J53">
        <f>RANK(H53,H$53:H$71)</f>
        <v>4</v>
      </c>
      <c r="K53" t="e">
        <f>RANK(I53,I$53:I$71)</f>
        <v>#N/A</v>
      </c>
    </row>
    <row r="54" spans="1:11" ht="16" x14ac:dyDescent="0.2">
      <c r="A54" t="s">
        <v>13</v>
      </c>
      <c r="B54" s="12">
        <v>146</v>
      </c>
      <c r="C54" s="2">
        <f t="shared" ref="C54:C64" si="11">B54/$B$76</f>
        <v>0.14762386248736098</v>
      </c>
      <c r="D54" s="12"/>
      <c r="E54" s="12"/>
      <c r="F54" s="10">
        <f t="shared" ref="F54:F64" si="12">B54+D54+E54</f>
        <v>146</v>
      </c>
      <c r="G54" s="8" t="str">
        <f t="shared" ref="G54:G64" si="13">A54</f>
        <v>Economy</v>
      </c>
      <c r="H54" s="3">
        <f t="shared" ref="H54:H64" si="14">C54</f>
        <v>0.14762386248736098</v>
      </c>
      <c r="I54" s="2"/>
      <c r="J54">
        <f t="shared" ref="J54:J71" si="15">RANK(H54,H$53:H$71)</f>
        <v>2</v>
      </c>
      <c r="K54" t="e">
        <f t="shared" ref="K54:K71" si="16">RANK(I54,I$53:I$71)</f>
        <v>#N/A</v>
      </c>
    </row>
    <row r="55" spans="1:11" ht="16" x14ac:dyDescent="0.2">
      <c r="A55" t="s">
        <v>91</v>
      </c>
      <c r="B55" s="12">
        <v>23</v>
      </c>
      <c r="C55" s="2">
        <f t="shared" si="11"/>
        <v>2.3255813953488372E-2</v>
      </c>
      <c r="D55" s="12"/>
      <c r="E55" s="12"/>
      <c r="F55" s="10">
        <f t="shared" si="12"/>
        <v>23</v>
      </c>
      <c r="G55" t="str">
        <f t="shared" si="13"/>
        <v>Taxes</v>
      </c>
      <c r="H55" s="3">
        <f t="shared" si="14"/>
        <v>2.3255813953488372E-2</v>
      </c>
      <c r="I55" s="2"/>
      <c r="J55">
        <f t="shared" si="15"/>
        <v>13</v>
      </c>
      <c r="K55" t="e">
        <f t="shared" si="16"/>
        <v>#N/A</v>
      </c>
    </row>
    <row r="56" spans="1:11" ht="16" x14ac:dyDescent="0.2">
      <c r="A56" t="s">
        <v>132</v>
      </c>
      <c r="B56" s="12">
        <v>0</v>
      </c>
      <c r="C56" s="2">
        <f t="shared" si="11"/>
        <v>0</v>
      </c>
      <c r="D56" s="12"/>
      <c r="E56" s="12"/>
      <c r="F56" s="10">
        <f t="shared" si="12"/>
        <v>0</v>
      </c>
      <c r="G56" t="str">
        <f t="shared" si="13"/>
        <v>Covid-19</v>
      </c>
      <c r="H56" s="3">
        <f t="shared" si="14"/>
        <v>0</v>
      </c>
      <c r="I56" s="2"/>
      <c r="J56">
        <f t="shared" si="15"/>
        <v>19</v>
      </c>
      <c r="K56" t="e">
        <f t="shared" si="16"/>
        <v>#N/A</v>
      </c>
    </row>
    <row r="57" spans="1:11" ht="16" x14ac:dyDescent="0.2">
      <c r="A57" t="s">
        <v>90</v>
      </c>
      <c r="B57" s="12">
        <v>26</v>
      </c>
      <c r="C57" s="2">
        <f t="shared" si="11"/>
        <v>2.6289180990899899E-2</v>
      </c>
      <c r="D57" s="12"/>
      <c r="E57" s="12"/>
      <c r="F57" s="10">
        <f t="shared" ref="F57" si="17">B57+D57+E57</f>
        <v>26</v>
      </c>
      <c r="G57" s="8" t="str">
        <f t="shared" ref="G57" si="18">A57</f>
        <v>Education</v>
      </c>
      <c r="H57" s="3">
        <f t="shared" ref="H57" si="19">C57</f>
        <v>2.6289180990899899E-2</v>
      </c>
      <c r="I57" s="2"/>
      <c r="J57">
        <f t="shared" si="15"/>
        <v>10</v>
      </c>
      <c r="K57" t="e">
        <f t="shared" si="16"/>
        <v>#N/A</v>
      </c>
    </row>
    <row r="58" spans="1:11" ht="16" x14ac:dyDescent="0.2">
      <c r="A58" t="s">
        <v>70</v>
      </c>
      <c r="B58" s="12">
        <v>33</v>
      </c>
      <c r="C58" s="2">
        <f t="shared" si="11"/>
        <v>3.3367037411526794E-2</v>
      </c>
      <c r="D58" s="12"/>
      <c r="E58" s="12"/>
      <c r="F58" s="10">
        <f t="shared" si="12"/>
        <v>33</v>
      </c>
      <c r="G58" s="8" t="str">
        <f t="shared" si="13"/>
        <v>Law &amp; Order</v>
      </c>
      <c r="H58" s="3">
        <f t="shared" si="14"/>
        <v>3.3367037411526794E-2</v>
      </c>
      <c r="I58" s="2"/>
      <c r="J58">
        <f t="shared" si="15"/>
        <v>6</v>
      </c>
      <c r="K58" t="e">
        <f t="shared" si="16"/>
        <v>#N/A</v>
      </c>
    </row>
    <row r="59" spans="1:11" ht="16" x14ac:dyDescent="0.2">
      <c r="A59" t="s">
        <v>133</v>
      </c>
      <c r="B59" s="12">
        <v>19</v>
      </c>
      <c r="C59" s="2">
        <f t="shared" si="11"/>
        <v>1.9211324570273004E-2</v>
      </c>
      <c r="D59" s="12"/>
      <c r="E59" s="12"/>
      <c r="F59" s="10">
        <f t="shared" si="12"/>
        <v>19</v>
      </c>
      <c r="G59" t="str">
        <f t="shared" si="13"/>
        <v>Help families</v>
      </c>
      <c r="H59" s="3">
        <f t="shared" si="14"/>
        <v>1.9211324570273004E-2</v>
      </c>
      <c r="I59" s="2"/>
      <c r="J59">
        <f t="shared" si="15"/>
        <v>14</v>
      </c>
      <c r="K59" t="e">
        <f t="shared" si="16"/>
        <v>#N/A</v>
      </c>
    </row>
    <row r="60" spans="1:11" ht="16" x14ac:dyDescent="0.2">
      <c r="A60" t="s">
        <v>67</v>
      </c>
      <c r="B60" s="12">
        <v>272</v>
      </c>
      <c r="C60" s="2">
        <f t="shared" si="11"/>
        <v>0.27502527805864507</v>
      </c>
      <c r="D60" s="12"/>
      <c r="E60" s="12"/>
      <c r="F60" s="10">
        <f t="shared" si="12"/>
        <v>272</v>
      </c>
      <c r="G60" s="8" t="str">
        <f t="shared" si="13"/>
        <v>Cost of Living</v>
      </c>
      <c r="H60" s="3">
        <f t="shared" si="14"/>
        <v>0.27502527805864507</v>
      </c>
      <c r="I60" s="2"/>
      <c r="J60">
        <f t="shared" si="15"/>
        <v>1</v>
      </c>
      <c r="K60" t="e">
        <f t="shared" si="16"/>
        <v>#N/A</v>
      </c>
    </row>
    <row r="61" spans="1:11" ht="16" x14ac:dyDescent="0.2">
      <c r="A61" t="s">
        <v>134</v>
      </c>
      <c r="B61" s="12">
        <v>1</v>
      </c>
      <c r="C61" s="2">
        <f t="shared" si="11"/>
        <v>1.0111223458038423E-3</v>
      </c>
      <c r="D61" s="12"/>
      <c r="E61" s="12"/>
      <c r="F61" s="10">
        <f t="shared" si="12"/>
        <v>1</v>
      </c>
      <c r="G61" t="str">
        <f t="shared" si="13"/>
        <v>Transport</v>
      </c>
      <c r="H61" s="3">
        <f t="shared" si="14"/>
        <v>1.0111223458038423E-3</v>
      </c>
      <c r="I61" s="2"/>
      <c r="J61">
        <f t="shared" si="15"/>
        <v>18</v>
      </c>
      <c r="K61" t="e">
        <f t="shared" si="16"/>
        <v>#N/A</v>
      </c>
    </row>
    <row r="62" spans="1:11" ht="16" x14ac:dyDescent="0.2">
      <c r="A62" t="s">
        <v>135</v>
      </c>
      <c r="B62" s="12">
        <v>2</v>
      </c>
      <c r="C62" s="2">
        <f t="shared" si="11"/>
        <v>2.0222446916076846E-3</v>
      </c>
      <c r="D62" s="12"/>
      <c r="E62" s="12"/>
      <c r="F62" s="10">
        <f t="shared" si="12"/>
        <v>2</v>
      </c>
      <c r="G62" t="str">
        <f t="shared" si="13"/>
        <v>Infrastructure</v>
      </c>
      <c r="H62" s="3">
        <f t="shared" si="14"/>
        <v>2.0222446916076846E-3</v>
      </c>
      <c r="I62" s="2"/>
      <c r="J62">
        <f t="shared" si="15"/>
        <v>17</v>
      </c>
      <c r="K62" t="e">
        <f t="shared" si="16"/>
        <v>#N/A</v>
      </c>
    </row>
    <row r="63" spans="1:11" ht="16" x14ac:dyDescent="0.2">
      <c r="A63" t="s">
        <v>14</v>
      </c>
      <c r="B63" s="12">
        <v>10</v>
      </c>
      <c r="C63" s="2">
        <f t="shared" si="11"/>
        <v>1.0111223458038422E-2</v>
      </c>
      <c r="D63" s="12"/>
      <c r="E63" s="12"/>
      <c r="F63" s="10">
        <f t="shared" si="12"/>
        <v>10</v>
      </c>
      <c r="G63" t="str">
        <f t="shared" si="13"/>
        <v>Leaders</v>
      </c>
      <c r="H63" s="3">
        <f t="shared" si="14"/>
        <v>1.0111223458038422E-2</v>
      </c>
      <c r="I63" s="2"/>
      <c r="J63">
        <f t="shared" si="15"/>
        <v>16</v>
      </c>
      <c r="K63" t="e">
        <f t="shared" si="16"/>
        <v>#N/A</v>
      </c>
    </row>
    <row r="64" spans="1:11" ht="16" x14ac:dyDescent="0.2">
      <c r="A64" t="s">
        <v>15</v>
      </c>
      <c r="B64" s="12">
        <v>26</v>
      </c>
      <c r="C64" s="2">
        <f t="shared" si="11"/>
        <v>2.6289180990899899E-2</v>
      </c>
      <c r="D64" s="12"/>
      <c r="E64" s="12"/>
      <c r="F64" s="10">
        <f t="shared" si="12"/>
        <v>26</v>
      </c>
      <c r="G64" s="14" t="str">
        <f t="shared" si="13"/>
        <v>Policies</v>
      </c>
      <c r="H64" s="3">
        <f t="shared" si="14"/>
        <v>2.6289180990899899E-2</v>
      </c>
      <c r="I64" s="2"/>
      <c r="J64">
        <f t="shared" si="15"/>
        <v>10</v>
      </c>
      <c r="K64" t="e">
        <f t="shared" si="16"/>
        <v>#N/A</v>
      </c>
    </row>
    <row r="65" spans="1:11" ht="16" x14ac:dyDescent="0.2">
      <c r="A65" t="s">
        <v>16</v>
      </c>
      <c r="B65" s="12">
        <v>26</v>
      </c>
      <c r="C65" s="2">
        <f t="shared" ref="C65:C73" si="20">B65/$B$76</f>
        <v>2.6289180990899899E-2</v>
      </c>
      <c r="D65" s="12"/>
      <c r="E65" s="12"/>
      <c r="F65" s="10">
        <f t="shared" ref="F65:F73" si="21">B65+D65+E65</f>
        <v>26</v>
      </c>
      <c r="G65" s="8" t="str">
        <f t="shared" si="9"/>
        <v>Environment</v>
      </c>
      <c r="H65" s="3">
        <f t="shared" si="10"/>
        <v>2.6289180990899899E-2</v>
      </c>
      <c r="I65" s="2"/>
      <c r="J65">
        <f t="shared" si="15"/>
        <v>10</v>
      </c>
      <c r="K65" t="e">
        <f t="shared" si="16"/>
        <v>#N/A</v>
      </c>
    </row>
    <row r="66" spans="1:11" ht="16" x14ac:dyDescent="0.2">
      <c r="A66" t="s">
        <v>5</v>
      </c>
      <c r="B66" s="12">
        <v>30</v>
      </c>
      <c r="C66" s="2">
        <f t="shared" si="20"/>
        <v>3.0333670374115267E-2</v>
      </c>
      <c r="D66" s="12"/>
      <c r="E66" s="12"/>
      <c r="F66" s="10">
        <f t="shared" si="21"/>
        <v>30</v>
      </c>
      <c r="G66" s="8" t="str">
        <f t="shared" si="9"/>
        <v>Maori</v>
      </c>
      <c r="H66" s="3">
        <f t="shared" si="10"/>
        <v>3.0333670374115267E-2</v>
      </c>
      <c r="I66" s="2"/>
      <c r="J66">
        <f t="shared" si="15"/>
        <v>9</v>
      </c>
      <c r="K66" t="e">
        <f t="shared" si="16"/>
        <v>#N/A</v>
      </c>
    </row>
    <row r="67" spans="1:11" ht="16" x14ac:dyDescent="0.2">
      <c r="A67" t="s">
        <v>136</v>
      </c>
      <c r="B67" s="12">
        <v>33</v>
      </c>
      <c r="C67" s="2">
        <f t="shared" si="20"/>
        <v>3.3367037411526794E-2</v>
      </c>
      <c r="D67" s="12"/>
      <c r="E67" s="12"/>
      <c r="F67" s="10">
        <f t="shared" si="21"/>
        <v>33</v>
      </c>
      <c r="G67" s="8" t="str">
        <f t="shared" si="9"/>
        <v>Immigration</v>
      </c>
      <c r="H67" s="3">
        <f t="shared" si="10"/>
        <v>3.3367037411526794E-2</v>
      </c>
      <c r="I67" s="2"/>
      <c r="J67">
        <f t="shared" si="15"/>
        <v>6</v>
      </c>
      <c r="K67" t="e">
        <f t="shared" si="16"/>
        <v>#N/A</v>
      </c>
    </row>
    <row r="68" spans="1:11" ht="16" x14ac:dyDescent="0.2">
      <c r="A68" t="s">
        <v>17</v>
      </c>
      <c r="B68" s="12">
        <v>33</v>
      </c>
      <c r="C68" s="2">
        <f t="shared" si="20"/>
        <v>3.3367037411526794E-2</v>
      </c>
      <c r="D68" s="12"/>
      <c r="E68" s="12"/>
      <c r="F68" s="10">
        <f t="shared" si="21"/>
        <v>33</v>
      </c>
      <c r="G68" s="8" t="str">
        <f t="shared" si="9"/>
        <v>Housing</v>
      </c>
      <c r="H68" s="3">
        <f t="shared" si="10"/>
        <v>3.3367037411526794E-2</v>
      </c>
      <c r="I68" s="2"/>
      <c r="J68">
        <f t="shared" si="15"/>
        <v>6</v>
      </c>
      <c r="K68" t="e">
        <f t="shared" si="16"/>
        <v>#N/A</v>
      </c>
    </row>
    <row r="69" spans="1:11" ht="16" x14ac:dyDescent="0.2">
      <c r="A69" t="s">
        <v>18</v>
      </c>
      <c r="B69" s="12">
        <v>36</v>
      </c>
      <c r="C69" s="2">
        <f t="shared" si="20"/>
        <v>3.6400404448938321E-2</v>
      </c>
      <c r="D69" s="12"/>
      <c r="E69" s="12"/>
      <c r="F69" s="10">
        <f t="shared" si="21"/>
        <v>36</v>
      </c>
      <c r="G69" s="8" t="str">
        <f t="shared" si="9"/>
        <v>Poverty</v>
      </c>
      <c r="H69" s="3">
        <f t="shared" si="10"/>
        <v>3.6400404448938321E-2</v>
      </c>
      <c r="I69" s="2"/>
      <c r="J69">
        <f t="shared" si="15"/>
        <v>5</v>
      </c>
      <c r="K69" t="e">
        <f t="shared" si="16"/>
        <v>#N/A</v>
      </c>
    </row>
    <row r="70" spans="1:11" ht="16" x14ac:dyDescent="0.2">
      <c r="A70" t="s">
        <v>19</v>
      </c>
      <c r="B70" s="12">
        <v>87</v>
      </c>
      <c r="C70" s="2">
        <f t="shared" si="20"/>
        <v>8.7967644084934279E-2</v>
      </c>
      <c r="D70" s="12"/>
      <c r="E70" s="12"/>
      <c r="F70" s="10">
        <f t="shared" si="21"/>
        <v>87</v>
      </c>
      <c r="G70" s="8" t="str">
        <f t="shared" si="9"/>
        <v>Health</v>
      </c>
      <c r="H70" s="3">
        <f t="shared" si="10"/>
        <v>8.7967644084934279E-2</v>
      </c>
      <c r="I70" s="2"/>
      <c r="J70">
        <f t="shared" si="15"/>
        <v>3</v>
      </c>
      <c r="K70" t="e">
        <f t="shared" si="16"/>
        <v>#N/A</v>
      </c>
    </row>
    <row r="71" spans="1:11" ht="16" x14ac:dyDescent="0.2">
      <c r="A71" t="s">
        <v>137</v>
      </c>
      <c r="B71" s="12">
        <v>15</v>
      </c>
      <c r="C71" s="2">
        <f t="shared" si="20"/>
        <v>1.5166835187057633E-2</v>
      </c>
      <c r="D71" s="12"/>
      <c r="E71" s="12"/>
      <c r="F71" s="10">
        <f t="shared" si="21"/>
        <v>15</v>
      </c>
      <c r="G71" t="str">
        <f t="shared" si="9"/>
        <v>Social Division</v>
      </c>
      <c r="H71" s="3">
        <f t="shared" si="10"/>
        <v>1.5166835187057633E-2</v>
      </c>
      <c r="I71" s="2"/>
      <c r="J71">
        <f t="shared" si="15"/>
        <v>15</v>
      </c>
      <c r="K71" t="e">
        <f t="shared" si="16"/>
        <v>#N/A</v>
      </c>
    </row>
    <row r="72" spans="1:11" ht="16" x14ac:dyDescent="0.2">
      <c r="A72" t="s">
        <v>7</v>
      </c>
      <c r="B72" s="12">
        <v>42</v>
      </c>
      <c r="C72" s="2">
        <f t="shared" si="20"/>
        <v>4.2467138523761376E-2</v>
      </c>
      <c r="D72" s="12"/>
      <c r="E72" s="12"/>
      <c r="F72" s="10">
        <f t="shared" si="21"/>
        <v>42</v>
      </c>
      <c r="G72" t="str">
        <f t="shared" si="9"/>
        <v>Other</v>
      </c>
      <c r="H72" s="3">
        <f t="shared" si="10"/>
        <v>4.2467138523761376E-2</v>
      </c>
      <c r="I72" s="2"/>
    </row>
    <row r="73" spans="1:11" ht="16" x14ac:dyDescent="0.2">
      <c r="A73" t="s">
        <v>8</v>
      </c>
      <c r="B73" s="12">
        <v>82</v>
      </c>
      <c r="C73" s="2">
        <f t="shared" si="20"/>
        <v>8.2912032355915072E-2</v>
      </c>
      <c r="D73" s="12"/>
      <c r="E73" s="12"/>
      <c r="F73" s="10">
        <f t="shared" si="21"/>
        <v>82</v>
      </c>
      <c r="G73" t="str">
        <f t="shared" si="9"/>
        <v>Unsure</v>
      </c>
      <c r="H73" s="3">
        <f t="shared" si="10"/>
        <v>8.2912032355915072E-2</v>
      </c>
      <c r="I73" s="2"/>
    </row>
    <row r="74" spans="1:11" ht="16" x14ac:dyDescent="0.2">
      <c r="B74" s="12">
        <v>989</v>
      </c>
      <c r="C74" s="2">
        <f>SUM(C53:C73)</f>
        <v>1.0000000000000002</v>
      </c>
      <c r="D74" s="7"/>
      <c r="E74" s="7"/>
      <c r="F74" s="10"/>
      <c r="H74" s="6">
        <f t="shared" si="10"/>
        <v>1.0000000000000002</v>
      </c>
      <c r="I74" s="1"/>
    </row>
    <row r="76" spans="1:11" x14ac:dyDescent="0.2">
      <c r="A76" t="s">
        <v>20</v>
      </c>
      <c r="B76">
        <f>B74</f>
        <v>989</v>
      </c>
      <c r="F76" s="10">
        <f>B76</f>
        <v>989</v>
      </c>
    </row>
    <row r="78" spans="1:11" x14ac:dyDescent="0.2">
      <c r="A78" t="s">
        <v>21</v>
      </c>
    </row>
    <row r="79" spans="1:11" x14ac:dyDescent="0.2">
      <c r="A79" t="s">
        <v>55</v>
      </c>
      <c r="B79" s="5">
        <v>0.18</v>
      </c>
    </row>
    <row r="80" spans="1:11" x14ac:dyDescent="0.2">
      <c r="A80" t="s">
        <v>26</v>
      </c>
      <c r="B80" s="5">
        <v>0.19500000000000001</v>
      </c>
    </row>
    <row r="81" spans="1:5" x14ac:dyDescent="0.2">
      <c r="A81" t="s">
        <v>22</v>
      </c>
      <c r="B81" s="5">
        <v>8.4000000000000005E-2</v>
      </c>
    </row>
    <row r="82" spans="1:5" x14ac:dyDescent="0.2">
      <c r="A82" t="s">
        <v>24</v>
      </c>
      <c r="B82" s="5">
        <v>7.0999999999999994E-2</v>
      </c>
    </row>
    <row r="83" spans="1:5" x14ac:dyDescent="0.2">
      <c r="A83" t="s">
        <v>56</v>
      </c>
      <c r="B83" s="5">
        <v>5.5E-2</v>
      </c>
      <c r="E83" s="5"/>
    </row>
    <row r="84" spans="1:5" x14ac:dyDescent="0.2">
      <c r="A84" t="s">
        <v>25</v>
      </c>
      <c r="B84" s="5">
        <v>9.7000000000000003E-2</v>
      </c>
      <c r="E84" s="5"/>
    </row>
    <row r="85" spans="1:5" x14ac:dyDescent="0.2">
      <c r="A85" t="s">
        <v>59</v>
      </c>
      <c r="B85" s="5">
        <v>0.01</v>
      </c>
    </row>
    <row r="86" spans="1:5" x14ac:dyDescent="0.2">
      <c r="A86" t="s">
        <v>32</v>
      </c>
      <c r="B86" s="5">
        <v>3.0000000000000001E-3</v>
      </c>
    </row>
    <row r="87" spans="1:5" x14ac:dyDescent="0.2">
      <c r="A87" t="s">
        <v>53</v>
      </c>
      <c r="B87" s="5">
        <v>1.7000000000000001E-2</v>
      </c>
    </row>
    <row r="88" spans="1:5" x14ac:dyDescent="0.2">
      <c r="A88" t="s">
        <v>139</v>
      </c>
      <c r="B88" s="5">
        <v>7.0000000000000001E-3</v>
      </c>
    </row>
    <row r="89" spans="1:5" x14ac:dyDescent="0.2">
      <c r="A89" t="s">
        <v>142</v>
      </c>
      <c r="B89" s="5">
        <v>3.0000000000000001E-3</v>
      </c>
    </row>
    <row r="90" spans="1:5" x14ac:dyDescent="0.2">
      <c r="A90" t="s">
        <v>93</v>
      </c>
      <c r="B90" s="5">
        <v>6.0000000000000001E-3</v>
      </c>
    </row>
    <row r="91" spans="1:5" x14ac:dyDescent="0.2">
      <c r="A91" t="s">
        <v>148</v>
      </c>
      <c r="B91" s="5">
        <v>1.9E-2</v>
      </c>
    </row>
    <row r="92" spans="1:5" x14ac:dyDescent="0.2">
      <c r="A92" t="s">
        <v>149</v>
      </c>
      <c r="B92" s="5">
        <v>2E-3</v>
      </c>
    </row>
    <row r="93" spans="1:5" x14ac:dyDescent="0.2">
      <c r="A93" t="s">
        <v>150</v>
      </c>
      <c r="B93" s="5">
        <v>1.4E-2</v>
      </c>
    </row>
    <row r="94" spans="1:5" x14ac:dyDescent="0.2">
      <c r="A94" t="s">
        <v>151</v>
      </c>
      <c r="B94" s="5">
        <v>0</v>
      </c>
    </row>
    <row r="95" spans="1:5" x14ac:dyDescent="0.2">
      <c r="B95" s="5"/>
    </row>
    <row r="96" spans="1:5" x14ac:dyDescent="0.2">
      <c r="B96" s="5"/>
    </row>
    <row r="97" spans="1:4" x14ac:dyDescent="0.2">
      <c r="A97" s="8" t="s">
        <v>83</v>
      </c>
    </row>
    <row r="99" spans="1:4" x14ac:dyDescent="0.2">
      <c r="A99" t="s">
        <v>28</v>
      </c>
      <c r="B99" s="3">
        <v>0.32600000000000001</v>
      </c>
    </row>
    <row r="100" spans="1:4" x14ac:dyDescent="0.2">
      <c r="A100" t="s">
        <v>29</v>
      </c>
      <c r="B100" s="3">
        <v>0.49</v>
      </c>
      <c r="D100" s="5"/>
    </row>
    <row r="101" spans="1:4" x14ac:dyDescent="0.2">
      <c r="A101" t="s">
        <v>8</v>
      </c>
      <c r="B101" s="3">
        <v>0.182</v>
      </c>
    </row>
    <row r="102" spans="1:4" x14ac:dyDescent="0.2">
      <c r="B102" s="3">
        <f>B99-B100</f>
        <v>-0.16399999999999998</v>
      </c>
    </row>
    <row r="103" spans="1:4" x14ac:dyDescent="0.2">
      <c r="B103" s="3"/>
    </row>
    <row r="104" spans="1:4" x14ac:dyDescent="0.2">
      <c r="A104" s="8" t="s">
        <v>98</v>
      </c>
      <c r="B104" s="3"/>
    </row>
    <row r="105" spans="1:4" x14ac:dyDescent="0.2">
      <c r="A105" t="s">
        <v>99</v>
      </c>
      <c r="B105" s="3"/>
    </row>
    <row r="106" spans="1:4" x14ac:dyDescent="0.2">
      <c r="A106" t="s">
        <v>100</v>
      </c>
      <c r="B106" s="3"/>
    </row>
    <row r="107" spans="1:4" x14ac:dyDescent="0.2">
      <c r="A107" t="s">
        <v>101</v>
      </c>
      <c r="B107" s="3"/>
    </row>
    <row r="108" spans="1:4" x14ac:dyDescent="0.2">
      <c r="A108" t="s">
        <v>102</v>
      </c>
      <c r="B108" s="3"/>
    </row>
    <row r="109" spans="1:4" x14ac:dyDescent="0.2">
      <c r="A109" t="s">
        <v>103</v>
      </c>
      <c r="B109" s="3"/>
    </row>
    <row r="110" spans="1:4" x14ac:dyDescent="0.2">
      <c r="A110" t="s">
        <v>8</v>
      </c>
      <c r="B110" s="3"/>
    </row>
    <row r="111" spans="1:4" x14ac:dyDescent="0.2">
      <c r="B111" s="3"/>
    </row>
    <row r="112" spans="1:4" x14ac:dyDescent="0.2">
      <c r="A112" t="s">
        <v>104</v>
      </c>
      <c r="B112" s="3">
        <f>B109+B108</f>
        <v>0</v>
      </c>
    </row>
    <row r="113" spans="1:24" x14ac:dyDescent="0.2">
      <c r="A113" t="s">
        <v>105</v>
      </c>
      <c r="B113" s="3">
        <f>B105+B106</f>
        <v>0</v>
      </c>
    </row>
    <row r="114" spans="1:24" x14ac:dyDescent="0.2">
      <c r="A114" t="s">
        <v>106</v>
      </c>
      <c r="B114" s="3">
        <f>B112-B113</f>
        <v>0</v>
      </c>
    </row>
    <row r="115" spans="1:24" x14ac:dyDescent="0.2">
      <c r="B115" s="3"/>
    </row>
    <row r="116" spans="1:24" x14ac:dyDescent="0.2">
      <c r="B116" s="3"/>
    </row>
    <row r="117" spans="1:24" x14ac:dyDescent="0.2">
      <c r="A117" s="8" t="s">
        <v>79</v>
      </c>
      <c r="B117" s="3"/>
    </row>
    <row r="119" spans="1:24" x14ac:dyDescent="0.2">
      <c r="B119" t="s">
        <v>30</v>
      </c>
      <c r="C119" t="s">
        <v>33</v>
      </c>
      <c r="D119" t="s">
        <v>34</v>
      </c>
      <c r="F119" t="s">
        <v>14</v>
      </c>
      <c r="G119" t="s">
        <v>30</v>
      </c>
      <c r="H119" t="s">
        <v>33</v>
      </c>
      <c r="I119" t="s">
        <v>34</v>
      </c>
      <c r="K119" t="s">
        <v>57</v>
      </c>
      <c r="L119" t="s">
        <v>30</v>
      </c>
      <c r="M119" t="s">
        <v>33</v>
      </c>
      <c r="N119" t="s">
        <v>34</v>
      </c>
      <c r="P119" t="s">
        <v>37</v>
      </c>
      <c r="Q119" t="s">
        <v>30</v>
      </c>
      <c r="R119" t="s">
        <v>33</v>
      </c>
      <c r="S119" t="s">
        <v>34</v>
      </c>
      <c r="U119" t="s">
        <v>12</v>
      </c>
      <c r="V119" t="s">
        <v>30</v>
      </c>
      <c r="W119" t="s">
        <v>33</v>
      </c>
      <c r="X119" t="s">
        <v>34</v>
      </c>
    </row>
    <row r="120" spans="1:24" x14ac:dyDescent="0.2">
      <c r="A120" t="s">
        <v>55</v>
      </c>
      <c r="B120" s="1">
        <v>0.33100000000000002</v>
      </c>
      <c r="C120" s="1">
        <v>0.371</v>
      </c>
      <c r="D120" s="1">
        <f>B120-C120</f>
        <v>-3.999999999999998E-2</v>
      </c>
      <c r="F120" t="s">
        <v>55</v>
      </c>
      <c r="G120" s="1">
        <v>0.42599999999999999</v>
      </c>
      <c r="H120" s="1">
        <v>0.26400000000000001</v>
      </c>
      <c r="I120" s="1">
        <f>G120-H120</f>
        <v>0.16199999999999998</v>
      </c>
      <c r="K120" t="s">
        <v>23</v>
      </c>
      <c r="L120" s="2">
        <v>5.7000000000000002E-2</v>
      </c>
      <c r="M120" s="2">
        <v>0.73799999999999999</v>
      </c>
      <c r="N120" s="2">
        <f t="shared" ref="N120:N125" si="22">L120-M120</f>
        <v>-0.68099999999999994</v>
      </c>
      <c r="P120" t="s">
        <v>22</v>
      </c>
      <c r="Q120" s="2">
        <f>19.8%+21.9%</f>
        <v>0.41699999999999998</v>
      </c>
      <c r="R120" s="2">
        <v>0.377</v>
      </c>
      <c r="S120" s="2">
        <f>Q120-R120</f>
        <v>3.999999999999998E-2</v>
      </c>
      <c r="U120" t="s">
        <v>31</v>
      </c>
      <c r="V120" s="2">
        <v>0.123</v>
      </c>
      <c r="W120" s="2">
        <v>0.45300000000000001</v>
      </c>
      <c r="X120" s="2">
        <f>V120-W120</f>
        <v>-0.33</v>
      </c>
    </row>
    <row r="121" spans="1:24" x14ac:dyDescent="0.2">
      <c r="A121" t="s">
        <v>26</v>
      </c>
      <c r="B121" s="1">
        <v>0.27500000000000002</v>
      </c>
      <c r="C121" s="1">
        <v>0.442</v>
      </c>
      <c r="D121" s="1">
        <f>B121-C121</f>
        <v>-0.16699999999999998</v>
      </c>
      <c r="F121" t="s">
        <v>26</v>
      </c>
      <c r="G121" s="1">
        <v>0.372</v>
      </c>
      <c r="H121" s="1">
        <v>0.40699999999999997</v>
      </c>
      <c r="I121" s="1">
        <f>G121-H121</f>
        <v>-3.4999999999999976E-2</v>
      </c>
      <c r="K121" t="s">
        <v>26</v>
      </c>
      <c r="L121" s="2">
        <v>0.373</v>
      </c>
      <c r="M121" s="2">
        <v>0.23699999999999999</v>
      </c>
      <c r="N121" s="2">
        <f t="shared" si="22"/>
        <v>0.13600000000000001</v>
      </c>
      <c r="P121" t="s">
        <v>54</v>
      </c>
      <c r="Q121" s="2">
        <v>0.432</v>
      </c>
      <c r="R121" s="2">
        <v>0.20100000000000001</v>
      </c>
      <c r="S121" s="2">
        <f t="shared" ref="S121:S141" si="23">Q121-R121</f>
        <v>0.23099999999999998</v>
      </c>
      <c r="U121" t="s">
        <v>32</v>
      </c>
      <c r="V121" s="2">
        <v>0.20599999999999999</v>
      </c>
      <c r="W121" s="2">
        <v>0.42899999999999999</v>
      </c>
      <c r="X121" s="2">
        <f>V121-W121</f>
        <v>-0.223</v>
      </c>
    </row>
    <row r="122" spans="1:24" x14ac:dyDescent="0.2">
      <c r="A122" t="s">
        <v>24</v>
      </c>
      <c r="B122" s="1">
        <v>0.22800000000000001</v>
      </c>
      <c r="C122" s="1">
        <v>0.47</v>
      </c>
      <c r="D122" s="1">
        <f>B122-C122</f>
        <v>-0.24199999999999997</v>
      </c>
      <c r="F122" t="s">
        <v>24</v>
      </c>
      <c r="G122" s="1">
        <v>0.30399999999999999</v>
      </c>
      <c r="H122" s="1">
        <v>0.42899999999999999</v>
      </c>
      <c r="I122" s="1">
        <f>G122-H122</f>
        <v>-0.125</v>
      </c>
      <c r="K122" t="s">
        <v>27</v>
      </c>
      <c r="L122" s="2">
        <v>0.18</v>
      </c>
      <c r="M122" s="2">
        <v>0.46200000000000002</v>
      </c>
      <c r="N122" s="2">
        <f t="shared" si="22"/>
        <v>-0.28200000000000003</v>
      </c>
      <c r="P122" t="s">
        <v>55</v>
      </c>
      <c r="Q122" s="2">
        <v>0.33500000000000002</v>
      </c>
      <c r="R122" s="2">
        <v>0.32400000000000001</v>
      </c>
      <c r="S122" s="2">
        <f t="shared" si="23"/>
        <v>1.100000000000001E-2</v>
      </c>
      <c r="U122" t="s">
        <v>56</v>
      </c>
      <c r="V122" s="2">
        <v>0.23400000000000001</v>
      </c>
      <c r="W122" s="2">
        <v>0.38</v>
      </c>
      <c r="X122" s="2">
        <f>V122-W122</f>
        <v>-0.14599999999999999</v>
      </c>
    </row>
    <row r="123" spans="1:24" x14ac:dyDescent="0.2">
      <c r="A123" t="s">
        <v>56</v>
      </c>
      <c r="B123" s="1">
        <v>0.21</v>
      </c>
      <c r="C123" s="1">
        <v>0.48499999999999999</v>
      </c>
      <c r="D123" s="1">
        <f t="shared" ref="D123:D125" si="24">B123-C123</f>
        <v>-0.27500000000000002</v>
      </c>
      <c r="F123" t="s">
        <v>31</v>
      </c>
      <c r="G123" s="1">
        <v>0.23</v>
      </c>
      <c r="H123" s="1">
        <v>0.38800000000000001</v>
      </c>
      <c r="I123" s="1">
        <f t="shared" ref="I123:I125" si="25">G123-H123</f>
        <v>-0.158</v>
      </c>
      <c r="K123" t="s">
        <v>59</v>
      </c>
      <c r="L123" s="2">
        <v>0.17599999999999999</v>
      </c>
      <c r="M123" s="2">
        <v>0.21</v>
      </c>
      <c r="N123" s="2">
        <f t="shared" si="22"/>
        <v>-3.4000000000000002E-2</v>
      </c>
      <c r="P123" t="s">
        <v>58</v>
      </c>
      <c r="Q123" s="2">
        <v>0.214</v>
      </c>
      <c r="R123" s="2">
        <v>0.312</v>
      </c>
      <c r="S123" s="2">
        <f t="shared" si="23"/>
        <v>-9.8000000000000004E-2</v>
      </c>
      <c r="U123" t="s">
        <v>66</v>
      </c>
      <c r="V123" s="2">
        <v>0.106</v>
      </c>
      <c r="W123" s="2">
        <v>0.253</v>
      </c>
      <c r="X123" s="2">
        <f>V123-W123</f>
        <v>-0.14700000000000002</v>
      </c>
    </row>
    <row r="124" spans="1:24" x14ac:dyDescent="0.2">
      <c r="A124" t="s">
        <v>32</v>
      </c>
      <c r="B124" s="1">
        <v>0.121</v>
      </c>
      <c r="C124" s="1">
        <v>0.51300000000000001</v>
      </c>
      <c r="D124" s="1">
        <f t="shared" si="24"/>
        <v>-0.39200000000000002</v>
      </c>
      <c r="F124" t="s">
        <v>93</v>
      </c>
      <c r="G124" s="1">
        <v>0.22600000000000001</v>
      </c>
      <c r="H124" s="1">
        <v>0.45900000000000002</v>
      </c>
      <c r="I124" s="1">
        <f t="shared" si="25"/>
        <v>-0.23300000000000001</v>
      </c>
      <c r="K124" t="s">
        <v>53</v>
      </c>
      <c r="L124" s="2">
        <v>0.153</v>
      </c>
      <c r="M124" s="2">
        <v>0.24099999999999999</v>
      </c>
      <c r="N124" s="2">
        <f t="shared" si="22"/>
        <v>-8.7999999999999995E-2</v>
      </c>
      <c r="P124" t="s">
        <v>60</v>
      </c>
      <c r="Q124" s="2">
        <v>0.251</v>
      </c>
      <c r="R124" s="2">
        <v>0.311</v>
      </c>
      <c r="S124" s="2">
        <f t="shared" si="23"/>
        <v>-0.06</v>
      </c>
    </row>
    <row r="125" spans="1:24" x14ac:dyDescent="0.2">
      <c r="A125" t="s">
        <v>25</v>
      </c>
      <c r="B125" s="1">
        <v>0.34599999999999997</v>
      </c>
      <c r="C125" s="1">
        <v>0.40600000000000003</v>
      </c>
      <c r="D125" s="1">
        <f t="shared" si="24"/>
        <v>-6.0000000000000053E-2</v>
      </c>
      <c r="F125" t="s">
        <v>25</v>
      </c>
      <c r="G125" s="1">
        <v>0.193</v>
      </c>
      <c r="H125" s="1">
        <v>0.57399999999999995</v>
      </c>
      <c r="I125" s="1">
        <f t="shared" si="25"/>
        <v>-0.38099999999999995</v>
      </c>
      <c r="K125" t="s">
        <v>61</v>
      </c>
      <c r="L125" s="2">
        <v>0.32</v>
      </c>
      <c r="M125" s="2">
        <v>0.184</v>
      </c>
      <c r="N125" s="2">
        <f t="shared" si="22"/>
        <v>0.13600000000000001</v>
      </c>
      <c r="P125" t="s">
        <v>64</v>
      </c>
      <c r="Q125" s="2">
        <v>0.127</v>
      </c>
      <c r="R125" s="2">
        <v>0.30199999999999999</v>
      </c>
      <c r="S125" s="2">
        <f t="shared" si="23"/>
        <v>-0.17499999999999999</v>
      </c>
    </row>
    <row r="126" spans="1:24" x14ac:dyDescent="0.2">
      <c r="B126" s="1"/>
      <c r="C126" s="1"/>
      <c r="D126" s="1"/>
      <c r="G126" s="2"/>
      <c r="H126" s="2"/>
      <c r="I126" s="2"/>
      <c r="P126" t="s">
        <v>65</v>
      </c>
      <c r="Q126" s="2">
        <v>0.16200000000000001</v>
      </c>
      <c r="R126" s="2">
        <v>0.29499999999999998</v>
      </c>
      <c r="S126" s="2">
        <f t="shared" si="23"/>
        <v>-0.13299999999999998</v>
      </c>
    </row>
    <row r="127" spans="1:24" x14ac:dyDescent="0.2">
      <c r="A127" t="s">
        <v>107</v>
      </c>
      <c r="B127" s="1"/>
      <c r="C127" s="1"/>
      <c r="D127" s="1"/>
      <c r="G127" s="2"/>
      <c r="H127" s="2"/>
      <c r="I127" s="2"/>
      <c r="Q127" s="2"/>
      <c r="R127" s="2"/>
      <c r="S127" s="2"/>
    </row>
    <row r="128" spans="1:24" x14ac:dyDescent="0.2">
      <c r="B128" s="1"/>
      <c r="C128" s="1"/>
      <c r="D128" s="1"/>
      <c r="G128" s="2"/>
      <c r="H128" s="2"/>
      <c r="I128" s="2"/>
      <c r="Q128" s="2"/>
      <c r="R128" s="2"/>
      <c r="S128" s="2"/>
    </row>
    <row r="129" spans="1:19" ht="16" x14ac:dyDescent="0.2">
      <c r="A129" t="s">
        <v>13</v>
      </c>
      <c r="B129" s="12"/>
      <c r="C129" s="1"/>
      <c r="D129" s="1"/>
      <c r="G129" s="2"/>
      <c r="H129" s="2"/>
      <c r="I129" s="2"/>
      <c r="Q129" s="2"/>
      <c r="R129" s="2"/>
      <c r="S129" s="2"/>
    </row>
    <row r="130" spans="1:19" ht="16" x14ac:dyDescent="0.2">
      <c r="A130" t="s">
        <v>19</v>
      </c>
      <c r="B130" s="12"/>
      <c r="C130" s="1"/>
      <c r="D130" s="1"/>
      <c r="G130" s="2"/>
      <c r="H130" s="2"/>
      <c r="I130" s="2"/>
      <c r="Q130" s="2"/>
      <c r="R130" s="2"/>
      <c r="S130" s="2"/>
    </row>
    <row r="131" spans="1:19" ht="16" x14ac:dyDescent="0.2">
      <c r="A131" t="s">
        <v>18</v>
      </c>
      <c r="B131" s="12"/>
      <c r="C131" s="1"/>
      <c r="D131" s="1"/>
      <c r="G131" s="2"/>
      <c r="H131" s="2"/>
      <c r="I131" s="2"/>
      <c r="Q131" s="2"/>
      <c r="R131" s="2"/>
      <c r="S131" s="2"/>
    </row>
    <row r="132" spans="1:19" ht="16" x14ac:dyDescent="0.2">
      <c r="A132" t="s">
        <v>71</v>
      </c>
      <c r="B132" s="12"/>
      <c r="C132" s="1"/>
      <c r="D132" s="1"/>
      <c r="G132" s="2"/>
      <c r="H132" s="2"/>
      <c r="I132" s="2"/>
      <c r="J132">
        <v>8467.5</v>
      </c>
      <c r="Q132" s="2"/>
      <c r="R132" s="2"/>
      <c r="S132" s="2"/>
    </row>
    <row r="133" spans="1:19" ht="16" x14ac:dyDescent="0.2">
      <c r="A133" t="s">
        <v>90</v>
      </c>
      <c r="B133" s="12"/>
      <c r="C133" s="1"/>
      <c r="D133" s="1"/>
      <c r="G133" s="2"/>
      <c r="H133" s="2"/>
      <c r="I133" s="2"/>
      <c r="J133">
        <v>-3015</v>
      </c>
      <c r="Q133" s="2"/>
      <c r="R133" s="2"/>
      <c r="S133" s="2"/>
    </row>
    <row r="134" spans="1:19" ht="16" x14ac:dyDescent="0.2">
      <c r="A134" t="s">
        <v>91</v>
      </c>
      <c r="B134" s="12"/>
      <c r="C134" s="1"/>
      <c r="D134" s="1"/>
      <c r="G134" s="2"/>
      <c r="H134" s="2"/>
      <c r="I134" s="2"/>
      <c r="J134">
        <f>J132+J133</f>
        <v>5452.5</v>
      </c>
      <c r="Q134" s="2"/>
      <c r="R134" s="2"/>
      <c r="S134" s="2"/>
    </row>
    <row r="135" spans="1:19" ht="16" x14ac:dyDescent="0.2">
      <c r="A135" t="s">
        <v>108</v>
      </c>
      <c r="B135" s="12"/>
      <c r="C135" s="1"/>
      <c r="D135" s="1"/>
      <c r="G135" s="2"/>
      <c r="H135" s="2"/>
      <c r="I135" s="2"/>
      <c r="Q135" s="2"/>
      <c r="R135" s="2"/>
      <c r="S135" s="2"/>
    </row>
    <row r="136" spans="1:19" ht="16" x14ac:dyDescent="0.2">
      <c r="A136" t="s">
        <v>109</v>
      </c>
      <c r="B136" s="12"/>
      <c r="C136" s="1"/>
      <c r="D136" s="1"/>
      <c r="G136" s="2"/>
      <c r="H136" s="2"/>
      <c r="I136" s="2"/>
      <c r="J136">
        <f>13920*24</f>
        <v>334080</v>
      </c>
      <c r="Q136" s="2"/>
      <c r="R136" s="2"/>
      <c r="S136" s="2"/>
    </row>
    <row r="137" spans="1:19" ht="16" x14ac:dyDescent="0.2">
      <c r="A137" t="s">
        <v>17</v>
      </c>
      <c r="B137" s="12"/>
      <c r="C137" s="1"/>
      <c r="D137" s="1"/>
      <c r="G137" s="2"/>
      <c r="H137" s="2"/>
      <c r="I137" s="2"/>
      <c r="Q137" s="2"/>
      <c r="R137" s="2"/>
      <c r="S137" s="2"/>
    </row>
    <row r="138" spans="1:19" ht="16" x14ac:dyDescent="0.2">
      <c r="A138" t="s">
        <v>16</v>
      </c>
      <c r="B138" s="12"/>
      <c r="C138" s="1"/>
      <c r="D138" s="1"/>
      <c r="G138" s="2"/>
      <c r="H138" s="2"/>
      <c r="I138" s="2"/>
      <c r="Q138" s="2"/>
      <c r="R138" s="2"/>
      <c r="S138" s="2"/>
    </row>
    <row r="139" spans="1:19" x14ac:dyDescent="0.2">
      <c r="B139" s="1"/>
      <c r="C139" s="1"/>
      <c r="D139" s="1"/>
      <c r="G139" s="2"/>
      <c r="H139" s="2"/>
      <c r="I139" s="2"/>
      <c r="Q139" s="2"/>
      <c r="R139" s="2"/>
      <c r="S139" s="2"/>
    </row>
    <row r="140" spans="1:19" x14ac:dyDescent="0.2">
      <c r="A140" s="8" t="s">
        <v>86</v>
      </c>
      <c r="B140" s="2"/>
      <c r="C140" s="2"/>
      <c r="D140" s="2"/>
      <c r="G140" s="2"/>
      <c r="H140" s="2"/>
      <c r="I140" s="2"/>
      <c r="P140" t="s">
        <v>68</v>
      </c>
      <c r="Q140" s="2">
        <v>5.3999999999999999E-2</v>
      </c>
      <c r="R140" s="2">
        <v>0.43</v>
      </c>
      <c r="S140" s="2">
        <f t="shared" si="23"/>
        <v>-0.376</v>
      </c>
    </row>
    <row r="141" spans="1:19" x14ac:dyDescent="0.2">
      <c r="P141" t="s">
        <v>69</v>
      </c>
      <c r="Q141" s="2">
        <v>9.1999999999999998E-2</v>
      </c>
      <c r="R141" s="2">
        <v>0.38200000000000001</v>
      </c>
      <c r="S141" s="2">
        <f t="shared" si="23"/>
        <v>-0.29000000000000004</v>
      </c>
    </row>
    <row r="142" spans="1:19" x14ac:dyDescent="0.2">
      <c r="B142" t="s">
        <v>36</v>
      </c>
      <c r="C142" t="s">
        <v>37</v>
      </c>
      <c r="E142" t="s">
        <v>110</v>
      </c>
    </row>
    <row r="143" spans="1:19" x14ac:dyDescent="0.2">
      <c r="A143" t="s">
        <v>13</v>
      </c>
      <c r="B143" s="3">
        <v>0.36</v>
      </c>
      <c r="C143" s="2">
        <v>0.254</v>
      </c>
      <c r="E143" s="3">
        <f>B143-C143</f>
        <v>0.10599999999999998</v>
      </c>
    </row>
    <row r="144" spans="1:19" x14ac:dyDescent="0.2">
      <c r="A144" t="s">
        <v>19</v>
      </c>
      <c r="B144" s="3">
        <v>0.223</v>
      </c>
      <c r="C144" s="2">
        <v>0.35699999999999998</v>
      </c>
      <c r="E144" s="3">
        <f t="shared" ref="E144:E152" si="26">B144-C144</f>
        <v>-0.13399999999999998</v>
      </c>
    </row>
    <row r="145" spans="1:11" x14ac:dyDescent="0.2">
      <c r="A145" t="s">
        <v>18</v>
      </c>
      <c r="B145" s="3">
        <v>0.182</v>
      </c>
      <c r="C145" s="2">
        <v>0.30499999999999999</v>
      </c>
      <c r="E145" s="3">
        <f t="shared" si="26"/>
        <v>-0.123</v>
      </c>
    </row>
    <row r="146" spans="1:11" x14ac:dyDescent="0.2">
      <c r="A146" t="s">
        <v>71</v>
      </c>
      <c r="B146" s="3">
        <v>0.29399999999999998</v>
      </c>
      <c r="C146" s="2">
        <v>0.25600000000000001</v>
      </c>
      <c r="E146" s="3">
        <f t="shared" si="26"/>
        <v>3.7999999999999978E-2</v>
      </c>
    </row>
    <row r="147" spans="1:11" x14ac:dyDescent="0.2">
      <c r="A147" t="s">
        <v>90</v>
      </c>
      <c r="B147" s="3">
        <v>0.30299999999999999</v>
      </c>
      <c r="C147" s="3">
        <v>0.29399999999999998</v>
      </c>
      <c r="E147" s="3">
        <f t="shared" si="26"/>
        <v>9.000000000000008E-3</v>
      </c>
      <c r="K147">
        <v>16.7</v>
      </c>
    </row>
    <row r="148" spans="1:11" x14ac:dyDescent="0.2">
      <c r="A148" t="s">
        <v>91</v>
      </c>
      <c r="B148" s="3">
        <v>0.221</v>
      </c>
      <c r="C148" s="3">
        <v>0.23</v>
      </c>
      <c r="E148" s="3">
        <f t="shared" si="26"/>
        <v>-9.000000000000008E-3</v>
      </c>
    </row>
    <row r="149" spans="1:11" x14ac:dyDescent="0.2">
      <c r="A149" t="s">
        <v>108</v>
      </c>
      <c r="B149" s="3">
        <v>0.29199999999999998</v>
      </c>
      <c r="C149" s="3">
        <v>0.24399999999999999</v>
      </c>
      <c r="E149" s="3">
        <f t="shared" si="26"/>
        <v>4.7999999999999987E-2</v>
      </c>
      <c r="K149">
        <v>26.5</v>
      </c>
    </row>
    <row r="150" spans="1:11" x14ac:dyDescent="0.2">
      <c r="A150" t="s">
        <v>109</v>
      </c>
      <c r="B150" s="3">
        <v>0.26400000000000001</v>
      </c>
      <c r="C150" s="3">
        <v>0.20100000000000001</v>
      </c>
      <c r="E150" s="3">
        <f t="shared" si="26"/>
        <v>6.3E-2</v>
      </c>
    </row>
    <row r="151" spans="1:11" x14ac:dyDescent="0.2">
      <c r="A151" t="s">
        <v>17</v>
      </c>
      <c r="B151" s="3">
        <v>0.20200000000000001</v>
      </c>
      <c r="C151" s="3">
        <v>0.30399999999999999</v>
      </c>
      <c r="E151" s="3">
        <f t="shared" si="26"/>
        <v>-0.10199999999999998</v>
      </c>
    </row>
    <row r="152" spans="1:11" x14ac:dyDescent="0.2">
      <c r="A152" t="s">
        <v>16</v>
      </c>
      <c r="B152" s="3">
        <v>0.13500000000000001</v>
      </c>
      <c r="C152" s="3">
        <v>0.20599999999999999</v>
      </c>
      <c r="E152" s="3">
        <f t="shared" si="26"/>
        <v>-7.099999999999998E-2</v>
      </c>
    </row>
    <row r="153" spans="1:11" x14ac:dyDescent="0.2">
      <c r="B153" s="3"/>
      <c r="C153" s="3"/>
      <c r="E153" s="3"/>
    </row>
    <row r="154" spans="1:11" x14ac:dyDescent="0.2">
      <c r="B154" t="s">
        <v>63</v>
      </c>
      <c r="C154" t="s">
        <v>62</v>
      </c>
      <c r="E154" t="s">
        <v>111</v>
      </c>
    </row>
    <row r="155" spans="1:11" x14ac:dyDescent="0.2">
      <c r="A155" t="s">
        <v>13</v>
      </c>
      <c r="B155" s="3">
        <v>0.45800000000000002</v>
      </c>
      <c r="C155" s="2">
        <v>0.311</v>
      </c>
      <c r="E155" s="3">
        <f>B155-C155</f>
        <v>0.14700000000000002</v>
      </c>
    </row>
    <row r="156" spans="1:11" x14ac:dyDescent="0.2">
      <c r="A156" t="s">
        <v>19</v>
      </c>
      <c r="B156" s="3">
        <v>0.32</v>
      </c>
      <c r="C156" s="2">
        <v>0.42199999999999999</v>
      </c>
      <c r="E156" s="3">
        <f t="shared" ref="E156:E164" si="27">B156-C156</f>
        <v>-0.10199999999999998</v>
      </c>
    </row>
    <row r="157" spans="1:11" x14ac:dyDescent="0.2">
      <c r="A157" t="s">
        <v>18</v>
      </c>
      <c r="B157" s="3">
        <v>0.318</v>
      </c>
      <c r="C157" s="2">
        <v>0.41299999999999998</v>
      </c>
      <c r="E157" s="3">
        <f t="shared" si="27"/>
        <v>-9.4999999999999973E-2</v>
      </c>
    </row>
    <row r="158" spans="1:11" x14ac:dyDescent="0.2">
      <c r="A158" t="s">
        <v>71</v>
      </c>
      <c r="B158" s="3">
        <v>0.40500000000000003</v>
      </c>
      <c r="C158" s="2">
        <v>0.33100000000000002</v>
      </c>
      <c r="E158" s="3">
        <f t="shared" si="27"/>
        <v>7.400000000000001E-2</v>
      </c>
      <c r="J158">
        <v>65700</v>
      </c>
    </row>
    <row r="159" spans="1:11" x14ac:dyDescent="0.2">
      <c r="A159" t="s">
        <v>90</v>
      </c>
      <c r="B159" s="3">
        <v>0.39900000000000002</v>
      </c>
      <c r="C159" s="3">
        <v>0.375</v>
      </c>
      <c r="E159" s="3">
        <f t="shared" si="27"/>
        <v>2.4000000000000021E-2</v>
      </c>
      <c r="J159">
        <v>62968</v>
      </c>
    </row>
    <row r="160" spans="1:11" x14ac:dyDescent="0.2">
      <c r="A160" t="s">
        <v>91</v>
      </c>
      <c r="B160" s="3">
        <v>0.36899999999999999</v>
      </c>
      <c r="C160" s="3">
        <v>0.30499999999999999</v>
      </c>
      <c r="E160" s="3">
        <f t="shared" si="27"/>
        <v>6.4000000000000001E-2</v>
      </c>
      <c r="J160">
        <f>J158-J159</f>
        <v>2732</v>
      </c>
    </row>
    <row r="161" spans="1:11" x14ac:dyDescent="0.2">
      <c r="A161" t="s">
        <v>108</v>
      </c>
      <c r="B161" s="3">
        <v>0.40799999999999997</v>
      </c>
      <c r="C161" s="3">
        <v>0.32300000000000001</v>
      </c>
      <c r="E161" s="3">
        <f t="shared" si="27"/>
        <v>8.4999999999999964E-2</v>
      </c>
      <c r="J161">
        <f>J160/J158</f>
        <v>4.1582952815829528E-2</v>
      </c>
    </row>
    <row r="162" spans="1:11" x14ac:dyDescent="0.2">
      <c r="A162" t="s">
        <v>109</v>
      </c>
      <c r="B162" s="3">
        <v>0.44400000000000001</v>
      </c>
      <c r="C162" s="3">
        <v>0.28199999999999997</v>
      </c>
      <c r="E162" s="3">
        <f t="shared" si="27"/>
        <v>0.16200000000000003</v>
      </c>
    </row>
    <row r="163" spans="1:11" x14ac:dyDescent="0.2">
      <c r="A163" t="s">
        <v>17</v>
      </c>
      <c r="B163" s="3">
        <v>0.318</v>
      </c>
      <c r="C163" s="3">
        <v>0.41199999999999998</v>
      </c>
      <c r="E163" s="3">
        <f t="shared" si="27"/>
        <v>-9.3999999999999972E-2</v>
      </c>
      <c r="K163">
        <f>K149-K147</f>
        <v>9.8000000000000007</v>
      </c>
    </row>
    <row r="164" spans="1:11" x14ac:dyDescent="0.2">
      <c r="A164" t="s">
        <v>16</v>
      </c>
      <c r="B164" s="3">
        <v>0.22500000000000001</v>
      </c>
      <c r="C164" s="3">
        <v>0.55000000000000004</v>
      </c>
      <c r="E164" s="3">
        <f t="shared" si="27"/>
        <v>-0.32500000000000007</v>
      </c>
    </row>
    <row r="165" spans="1:11" x14ac:dyDescent="0.2">
      <c r="B165" s="3"/>
    </row>
    <row r="166" spans="1:11" x14ac:dyDescent="0.2">
      <c r="A166" t="s">
        <v>38</v>
      </c>
    </row>
    <row r="167" spans="1:11" x14ac:dyDescent="0.2">
      <c r="B167" t="s">
        <v>39</v>
      </c>
      <c r="C167" t="s">
        <v>40</v>
      </c>
    </row>
    <row r="168" spans="1:11" x14ac:dyDescent="0.2">
      <c r="A168" t="s">
        <v>2</v>
      </c>
      <c r="B168" s="2">
        <v>0.318</v>
      </c>
      <c r="C168" s="2">
        <v>0.311</v>
      </c>
    </row>
    <row r="169" spans="1:11" x14ac:dyDescent="0.2">
      <c r="A169" t="s">
        <v>1</v>
      </c>
      <c r="B169" s="2">
        <v>0.39200000000000002</v>
      </c>
      <c r="C169" s="2">
        <v>0.29399999999999998</v>
      </c>
    </row>
    <row r="170" spans="1:11" x14ac:dyDescent="0.2">
      <c r="A170" t="s">
        <v>6</v>
      </c>
      <c r="B170" s="2">
        <v>9.6000000000000002E-2</v>
      </c>
      <c r="C170" s="2">
        <v>0.14299999999999999</v>
      </c>
    </row>
    <row r="171" spans="1:11" x14ac:dyDescent="0.2">
      <c r="A171" t="s">
        <v>94</v>
      </c>
      <c r="B171" s="2">
        <v>1.9E-2</v>
      </c>
      <c r="C171" s="2">
        <v>4.1000000000000002E-2</v>
      </c>
    </row>
    <row r="172" spans="1:11" x14ac:dyDescent="0.2">
      <c r="A172" t="s">
        <v>3</v>
      </c>
      <c r="B172" s="2">
        <v>5.5E-2</v>
      </c>
      <c r="C172" s="2">
        <v>8.6999999999999994E-2</v>
      </c>
      <c r="F172" s="8" t="s">
        <v>78</v>
      </c>
    </row>
    <row r="173" spans="1:11" x14ac:dyDescent="0.2">
      <c r="A173" t="s">
        <v>12</v>
      </c>
      <c r="B173" s="2">
        <v>8.5000000000000006E-2</v>
      </c>
      <c r="C173" s="2">
        <v>6.8000000000000005E-2</v>
      </c>
    </row>
    <row r="174" spans="1:11" x14ac:dyDescent="0.2">
      <c r="A174" t="s">
        <v>63</v>
      </c>
      <c r="B174" s="2">
        <f>B168+B172+B170</f>
        <v>0.46899999999999997</v>
      </c>
      <c r="C174" s="2">
        <f>C168+C172+C170</f>
        <v>0.54100000000000004</v>
      </c>
      <c r="G174" t="s">
        <v>43</v>
      </c>
      <c r="H174" t="s">
        <v>44</v>
      </c>
      <c r="I174" t="s">
        <v>42</v>
      </c>
      <c r="J174" t="s">
        <v>40</v>
      </c>
      <c r="K174" t="s">
        <v>39</v>
      </c>
    </row>
    <row r="175" spans="1:11" x14ac:dyDescent="0.2">
      <c r="A175" t="s">
        <v>62</v>
      </c>
      <c r="B175" s="2">
        <f>B169+B173+B171</f>
        <v>0.49600000000000005</v>
      </c>
      <c r="C175" s="2">
        <f>C169+C173+C171</f>
        <v>0.40299999999999997</v>
      </c>
      <c r="F175" t="s">
        <v>62</v>
      </c>
      <c r="G175" s="6">
        <f>D182+D186+D184</f>
        <v>0.37</v>
      </c>
      <c r="H175" s="6">
        <f>C182+C186+C184</f>
        <v>0.5</v>
      </c>
      <c r="I175" s="6">
        <f>B182+B186+B184</f>
        <v>0.48399999999999999</v>
      </c>
      <c r="J175" s="6">
        <f>C175</f>
        <v>0.40299999999999997</v>
      </c>
      <c r="K175" s="6">
        <f>B175</f>
        <v>0.49600000000000005</v>
      </c>
    </row>
    <row r="176" spans="1:11" x14ac:dyDescent="0.2">
      <c r="B176" s="2"/>
      <c r="C176" s="2"/>
      <c r="F176" t="s">
        <v>72</v>
      </c>
      <c r="G176" s="6">
        <f>1-G175-G177</f>
        <v>2.0000000000000018E-2</v>
      </c>
      <c r="H176" s="6">
        <f t="shared" ref="H176:K176" si="28">1-H175-H177</f>
        <v>3.7000000000000033E-2</v>
      </c>
      <c r="I176" s="6">
        <f t="shared" si="28"/>
        <v>7.3000000000000009E-2</v>
      </c>
      <c r="J176" s="6">
        <f t="shared" si="28"/>
        <v>5.5999999999999939E-2</v>
      </c>
      <c r="K176" s="6">
        <f t="shared" si="28"/>
        <v>3.5000000000000031E-2</v>
      </c>
    </row>
    <row r="177" spans="1:11" x14ac:dyDescent="0.2">
      <c r="B177" s="2">
        <f>B175-B174</f>
        <v>2.7000000000000079E-2</v>
      </c>
      <c r="C177" s="2">
        <f>C175-C174</f>
        <v>-0.13800000000000007</v>
      </c>
      <c r="F177" t="s">
        <v>63</v>
      </c>
      <c r="G177" s="6">
        <f>D181+D185+D183</f>
        <v>0.61</v>
      </c>
      <c r="H177" s="6">
        <f>C181+C185+C183</f>
        <v>0.46299999999999997</v>
      </c>
      <c r="I177" s="6">
        <f>B181+B185+B183</f>
        <v>0.443</v>
      </c>
      <c r="J177" s="6">
        <f>C174</f>
        <v>0.54100000000000004</v>
      </c>
      <c r="K177" s="6">
        <f>B174</f>
        <v>0.46899999999999997</v>
      </c>
    </row>
    <row r="179" spans="1:11" x14ac:dyDescent="0.2">
      <c r="A179" t="s">
        <v>41</v>
      </c>
    </row>
    <row r="180" spans="1:11" x14ac:dyDescent="0.2">
      <c r="B180" t="s">
        <v>42</v>
      </c>
      <c r="C180" t="s">
        <v>44</v>
      </c>
      <c r="D180" t="s">
        <v>43</v>
      </c>
    </row>
    <row r="181" spans="1:11" ht="16" x14ac:dyDescent="0.2">
      <c r="A181" t="s">
        <v>2</v>
      </c>
      <c r="B181" s="13">
        <v>0.30399999999999999</v>
      </c>
      <c r="C181" s="13">
        <v>0.252</v>
      </c>
      <c r="D181" s="13">
        <v>0.38800000000000001</v>
      </c>
    </row>
    <row r="182" spans="1:11" ht="16" x14ac:dyDescent="0.2">
      <c r="A182" t="s">
        <v>1</v>
      </c>
      <c r="B182" s="13">
        <v>0.34699999999999998</v>
      </c>
      <c r="C182" s="13">
        <v>0.38800000000000001</v>
      </c>
      <c r="D182" s="13">
        <v>0.29899999999999999</v>
      </c>
    </row>
    <row r="183" spans="1:11" ht="16" x14ac:dyDescent="0.2">
      <c r="A183" t="s">
        <v>6</v>
      </c>
      <c r="B183" s="13">
        <v>8.1000000000000003E-2</v>
      </c>
      <c r="C183" s="13">
        <v>0.14599999999999999</v>
      </c>
      <c r="D183" s="13">
        <v>0.13200000000000001</v>
      </c>
    </row>
    <row r="184" spans="1:11" ht="16" x14ac:dyDescent="0.2">
      <c r="A184" t="s">
        <v>5</v>
      </c>
      <c r="B184" s="13">
        <v>5.3999999999999999E-2</v>
      </c>
      <c r="C184" s="13">
        <v>0.02</v>
      </c>
      <c r="D184" s="13">
        <v>1.4E-2</v>
      </c>
    </row>
    <row r="185" spans="1:11" ht="16" x14ac:dyDescent="0.2">
      <c r="A185" t="s">
        <v>3</v>
      </c>
      <c r="B185" s="13">
        <v>5.8000000000000003E-2</v>
      </c>
      <c r="C185" s="13">
        <v>6.5000000000000002E-2</v>
      </c>
      <c r="D185" s="13">
        <v>0.09</v>
      </c>
    </row>
    <row r="186" spans="1:11" ht="16" x14ac:dyDescent="0.2">
      <c r="A186" t="s">
        <v>12</v>
      </c>
      <c r="B186" s="13">
        <v>8.3000000000000004E-2</v>
      </c>
      <c r="C186" s="13">
        <v>9.1999999999999998E-2</v>
      </c>
      <c r="D186" s="13">
        <v>5.7000000000000002E-2</v>
      </c>
    </row>
    <row r="188" spans="1:11" x14ac:dyDescent="0.2">
      <c r="A188" t="s">
        <v>45</v>
      </c>
      <c r="B188" s="2">
        <f>B182+B186+B184-B181-B185-B183</f>
        <v>4.0999999999999995E-2</v>
      </c>
      <c r="C188" s="2">
        <f t="shared" ref="C188:D188" si="29">C182+C186+C184-C181-C185-C183</f>
        <v>3.7000000000000005E-2</v>
      </c>
      <c r="D188" s="2">
        <f t="shared" si="29"/>
        <v>-0.24000000000000002</v>
      </c>
    </row>
    <row r="189" spans="1:11" x14ac:dyDescent="0.2">
      <c r="B189" t="s">
        <v>46</v>
      </c>
      <c r="C189" t="s">
        <v>47</v>
      </c>
      <c r="D189" t="s">
        <v>48</v>
      </c>
      <c r="E189" t="s">
        <v>49</v>
      </c>
      <c r="F189" t="s">
        <v>50</v>
      </c>
      <c r="G189" t="s">
        <v>51</v>
      </c>
    </row>
    <row r="190" spans="1:11" ht="16" x14ac:dyDescent="0.2">
      <c r="A190" t="s">
        <v>2</v>
      </c>
      <c r="B190" s="13">
        <v>0.29699999999999999</v>
      </c>
      <c r="C190" s="13">
        <v>0.218</v>
      </c>
      <c r="D190" s="13">
        <v>0.29399999999999998</v>
      </c>
      <c r="E190" s="13">
        <v>0.36199999999999999</v>
      </c>
      <c r="F190" s="13">
        <v>0.28000000000000003</v>
      </c>
      <c r="G190" s="13">
        <v>0.39800000000000002</v>
      </c>
    </row>
    <row r="191" spans="1:11" ht="16" x14ac:dyDescent="0.2">
      <c r="A191" t="s">
        <v>1</v>
      </c>
      <c r="B191" s="13">
        <v>0.33</v>
      </c>
      <c r="C191" s="13">
        <v>0.36099999999999999</v>
      </c>
      <c r="D191" s="13">
        <v>0.48</v>
      </c>
      <c r="E191" s="13">
        <v>0.29299999999999998</v>
      </c>
      <c r="F191" s="13">
        <v>0.36099999999999999</v>
      </c>
      <c r="G191" s="13">
        <v>0.34699999999999998</v>
      </c>
    </row>
    <row r="192" spans="1:11" ht="16" x14ac:dyDescent="0.2">
      <c r="A192" t="s">
        <v>6</v>
      </c>
      <c r="B192" s="13">
        <v>9.9000000000000005E-2</v>
      </c>
      <c r="C192" s="13">
        <v>7.3999999999999996E-2</v>
      </c>
      <c r="D192" s="13">
        <v>8.7999999999999995E-2</v>
      </c>
      <c r="E192" s="13">
        <v>8.1000000000000003E-2</v>
      </c>
      <c r="F192" s="13">
        <v>0.224</v>
      </c>
      <c r="G192" s="13">
        <v>0.115</v>
      </c>
    </row>
    <row r="193" spans="1:15" ht="16" x14ac:dyDescent="0.2">
      <c r="A193" t="s">
        <v>5</v>
      </c>
      <c r="B193" s="13">
        <v>4.7E-2</v>
      </c>
      <c r="C193" s="13">
        <v>5.3999999999999999E-2</v>
      </c>
      <c r="D193" s="13">
        <v>0</v>
      </c>
      <c r="E193" s="13">
        <v>0.02</v>
      </c>
      <c r="F193" s="13">
        <v>8.9999999999999993E-3</v>
      </c>
      <c r="G193" s="13">
        <v>4.3999999999999997E-2</v>
      </c>
    </row>
    <row r="194" spans="1:15" ht="16" x14ac:dyDescent="0.2">
      <c r="A194" t="s">
        <v>3</v>
      </c>
      <c r="B194" s="13">
        <v>9.1999999999999998E-2</v>
      </c>
      <c r="C194" s="13">
        <v>7.2999999999999995E-2</v>
      </c>
      <c r="D194" s="13">
        <v>5.8000000000000003E-2</v>
      </c>
      <c r="E194" s="13">
        <v>8.2000000000000003E-2</v>
      </c>
      <c r="F194" s="13">
        <v>8.2000000000000003E-2</v>
      </c>
      <c r="G194" s="13">
        <v>0</v>
      </c>
      <c r="I194" s="8" t="s">
        <v>77</v>
      </c>
    </row>
    <row r="195" spans="1:15" ht="16" x14ac:dyDescent="0.2">
      <c r="A195" t="s">
        <v>12</v>
      </c>
      <c r="B195" s="13">
        <v>8.6999999999999994E-2</v>
      </c>
      <c r="C195" s="13">
        <v>0.17399999999999999</v>
      </c>
      <c r="D195" s="13">
        <v>4.2999999999999997E-2</v>
      </c>
      <c r="E195" s="13">
        <v>0.125</v>
      </c>
      <c r="F195" s="13">
        <v>3.1E-2</v>
      </c>
      <c r="G195" s="13">
        <v>0</v>
      </c>
    </row>
    <row r="196" spans="1:15" x14ac:dyDescent="0.2">
      <c r="B196" s="2"/>
      <c r="C196" s="2"/>
      <c r="D196" s="2"/>
      <c r="E196" s="2"/>
      <c r="F196" s="2"/>
      <c r="G196" s="2"/>
      <c r="J196" t="s">
        <v>51</v>
      </c>
      <c r="K196" t="s">
        <v>50</v>
      </c>
      <c r="L196" t="s">
        <v>49</v>
      </c>
      <c r="M196" t="s">
        <v>48</v>
      </c>
      <c r="N196" t="s">
        <v>47</v>
      </c>
      <c r="O196" t="s">
        <v>46</v>
      </c>
    </row>
    <row r="197" spans="1:15" x14ac:dyDescent="0.2">
      <c r="A197" t="s">
        <v>92</v>
      </c>
      <c r="B197" s="2">
        <f>B191+B193+B195-B194-B190-B192</f>
        <v>-2.3999999999999994E-2</v>
      </c>
      <c r="C197" s="2">
        <f t="shared" ref="C197:G197" si="30">C191+C193+C195-C194-C190-C192</f>
        <v>0.22400000000000003</v>
      </c>
      <c r="D197" s="2">
        <f t="shared" si="30"/>
        <v>8.3000000000000046E-2</v>
      </c>
      <c r="E197" s="2">
        <f t="shared" si="30"/>
        <v>-8.7000000000000008E-2</v>
      </c>
      <c r="F197" s="2">
        <f t="shared" si="30"/>
        <v>-0.18500000000000003</v>
      </c>
      <c r="G197" s="2">
        <f t="shared" si="30"/>
        <v>-0.12200000000000007</v>
      </c>
      <c r="I197" t="s">
        <v>62</v>
      </c>
      <c r="J197" s="6">
        <f>G191+G195+G193</f>
        <v>0.39099999999999996</v>
      </c>
      <c r="K197" s="6">
        <f>F191+F195+F193</f>
        <v>0.40100000000000002</v>
      </c>
      <c r="L197" s="6">
        <f>E191+E195+E193</f>
        <v>0.438</v>
      </c>
      <c r="M197" s="6">
        <f>D191+D195+D193</f>
        <v>0.52300000000000002</v>
      </c>
      <c r="N197" s="6">
        <f>C191+C195+C193</f>
        <v>0.58899999999999997</v>
      </c>
      <c r="O197" s="6">
        <f>B191+B195+B193</f>
        <v>0.46400000000000002</v>
      </c>
    </row>
    <row r="198" spans="1:15" x14ac:dyDescent="0.2">
      <c r="B198" s="2"/>
      <c r="C198" s="2"/>
      <c r="D198" s="2"/>
      <c r="E198" s="2"/>
      <c r="I198" t="s">
        <v>72</v>
      </c>
      <c r="J198" s="6">
        <f t="shared" ref="J198:O198" si="31">1-J197-J199</f>
        <v>9.5999999999999974E-2</v>
      </c>
      <c r="K198" s="6">
        <f t="shared" si="31"/>
        <v>1.2999999999999901E-2</v>
      </c>
      <c r="L198" s="6">
        <f t="shared" si="31"/>
        <v>3.7000000000000033E-2</v>
      </c>
      <c r="M198" s="6">
        <f t="shared" si="31"/>
        <v>3.7000000000000033E-2</v>
      </c>
      <c r="N198" s="6">
        <f t="shared" si="31"/>
        <v>4.6000000000000041E-2</v>
      </c>
      <c r="O198" s="6">
        <f t="shared" si="31"/>
        <v>4.8000000000000043E-2</v>
      </c>
    </row>
    <row r="199" spans="1:15" x14ac:dyDescent="0.2">
      <c r="B199" s="2"/>
      <c r="C199" s="2"/>
      <c r="D199" s="2"/>
      <c r="E199" s="2"/>
      <c r="F199" s="2"/>
      <c r="G199" s="2"/>
      <c r="I199" t="s">
        <v>63</v>
      </c>
      <c r="J199" s="6">
        <f>G190+G194+G192</f>
        <v>0.51300000000000001</v>
      </c>
      <c r="K199" s="6">
        <f>F190+F194+F192</f>
        <v>0.58600000000000008</v>
      </c>
      <c r="L199" s="6">
        <f>E190+E194+E192</f>
        <v>0.52500000000000002</v>
      </c>
      <c r="M199" s="6">
        <f>D190+D194+D192</f>
        <v>0.43999999999999995</v>
      </c>
      <c r="N199" s="6">
        <f>C190+C194+C192</f>
        <v>0.36499999999999999</v>
      </c>
      <c r="O199" s="6">
        <f>B190+B194+B192</f>
        <v>0.48799999999999999</v>
      </c>
    </row>
    <row r="200" spans="1:15" x14ac:dyDescent="0.2">
      <c r="B200" t="s">
        <v>144</v>
      </c>
      <c r="C200" t="s">
        <v>145</v>
      </c>
      <c r="D200" t="s">
        <v>146</v>
      </c>
      <c r="E200" t="s">
        <v>147</v>
      </c>
      <c r="F200" t="s">
        <v>7</v>
      </c>
      <c r="G200" s="2"/>
    </row>
    <row r="201" spans="1:15" ht="16" x14ac:dyDescent="0.2">
      <c r="A201" t="s">
        <v>2</v>
      </c>
      <c r="B201" s="13"/>
      <c r="C201" s="13"/>
      <c r="D201" s="13"/>
      <c r="E201" s="13"/>
      <c r="F201" s="13"/>
      <c r="G201" s="2"/>
      <c r="J201" t="s">
        <v>144</v>
      </c>
      <c r="K201" t="s">
        <v>145</v>
      </c>
      <c r="L201" t="s">
        <v>146</v>
      </c>
      <c r="M201" t="s">
        <v>147</v>
      </c>
    </row>
    <row r="202" spans="1:15" ht="16" x14ac:dyDescent="0.2">
      <c r="A202" t="s">
        <v>1</v>
      </c>
      <c r="B202" s="13"/>
      <c r="C202" s="13"/>
      <c r="D202" s="13"/>
      <c r="E202" s="13"/>
      <c r="F202" s="13"/>
      <c r="G202" s="2"/>
      <c r="I202" t="s">
        <v>62</v>
      </c>
      <c r="J202" s="6">
        <f>B202+B204+B206</f>
        <v>0</v>
      </c>
      <c r="K202" s="6">
        <f t="shared" ref="K202:M202" si="32">C202+C204+C206</f>
        <v>0</v>
      </c>
      <c r="L202" s="6">
        <f t="shared" si="32"/>
        <v>0</v>
      </c>
      <c r="M202" s="6">
        <f t="shared" si="32"/>
        <v>0</v>
      </c>
    </row>
    <row r="203" spans="1:15" ht="16" x14ac:dyDescent="0.2">
      <c r="A203" t="s">
        <v>6</v>
      </c>
      <c r="B203" s="13"/>
      <c r="C203" s="13"/>
      <c r="D203" s="13"/>
      <c r="E203" s="13"/>
      <c r="F203" s="13"/>
      <c r="G203" s="2"/>
      <c r="I203" t="s">
        <v>72</v>
      </c>
      <c r="J203" s="6">
        <f>1-J202-J204</f>
        <v>1</v>
      </c>
      <c r="K203" s="6">
        <f t="shared" ref="K203:M203" si="33">1-K202-K204</f>
        <v>1</v>
      </c>
      <c r="L203" s="6">
        <f t="shared" si="33"/>
        <v>1</v>
      </c>
      <c r="M203" s="6">
        <f t="shared" si="33"/>
        <v>1</v>
      </c>
    </row>
    <row r="204" spans="1:15" ht="16" x14ac:dyDescent="0.2">
      <c r="A204" t="s">
        <v>5</v>
      </c>
      <c r="B204" s="13"/>
      <c r="C204" s="13"/>
      <c r="D204" s="13"/>
      <c r="E204" s="13"/>
      <c r="F204" s="13"/>
      <c r="G204" s="2"/>
      <c r="I204" t="s">
        <v>63</v>
      </c>
      <c r="J204" s="6">
        <f>B201+B203+B205</f>
        <v>0</v>
      </c>
      <c r="K204" s="6">
        <f t="shared" ref="K204:M204" si="34">C201+C203+C205</f>
        <v>0</v>
      </c>
      <c r="L204" s="6">
        <f t="shared" si="34"/>
        <v>0</v>
      </c>
      <c r="M204" s="6">
        <f t="shared" si="34"/>
        <v>0</v>
      </c>
    </row>
    <row r="205" spans="1:15" ht="16" x14ac:dyDescent="0.2">
      <c r="A205" t="s">
        <v>3</v>
      </c>
      <c r="B205" s="13"/>
      <c r="C205" s="13"/>
      <c r="D205" s="13"/>
      <c r="E205" s="13"/>
      <c r="F205" s="13"/>
      <c r="G205" s="2"/>
    </row>
    <row r="206" spans="1:15" ht="16" x14ac:dyDescent="0.2">
      <c r="A206" t="s">
        <v>12</v>
      </c>
      <c r="B206" s="13"/>
      <c r="C206" s="13"/>
      <c r="D206" s="13"/>
      <c r="E206" s="13"/>
      <c r="F206" s="13"/>
      <c r="G206" s="2"/>
    </row>
    <row r="207" spans="1:15" x14ac:dyDescent="0.2">
      <c r="B207" s="2"/>
      <c r="C207" s="2"/>
      <c r="D207" s="2"/>
      <c r="E207" s="2"/>
      <c r="F207" s="2"/>
      <c r="G207" s="2"/>
    </row>
    <row r="208" spans="1:15" x14ac:dyDescent="0.2">
      <c r="A208" t="s">
        <v>92</v>
      </c>
      <c r="B208" s="2">
        <f>B202+B204+B206-B205-B201-B203</f>
        <v>0</v>
      </c>
      <c r="C208" s="2">
        <f t="shared" ref="C208:F208" si="35">C202+C204+C206-C205-C201-C203</f>
        <v>0</v>
      </c>
      <c r="D208" s="2">
        <f t="shared" si="35"/>
        <v>0</v>
      </c>
      <c r="E208" s="2">
        <f t="shared" si="35"/>
        <v>0</v>
      </c>
      <c r="F208" s="2">
        <f t="shared" si="35"/>
        <v>0</v>
      </c>
      <c r="G208" s="2"/>
    </row>
    <row r="210" spans="1:17" x14ac:dyDescent="0.2">
      <c r="A210" s="8" t="s">
        <v>81</v>
      </c>
      <c r="B210" s="2"/>
      <c r="C210" s="2"/>
      <c r="D210" s="2"/>
    </row>
    <row r="211" spans="1:17" x14ac:dyDescent="0.2">
      <c r="B211" s="2"/>
      <c r="C211" s="2"/>
      <c r="D211" s="2"/>
    </row>
    <row r="212" spans="1:17" x14ac:dyDescent="0.2">
      <c r="B212" t="s">
        <v>2</v>
      </c>
      <c r="C212" t="s">
        <v>1</v>
      </c>
      <c r="D212" t="s">
        <v>94</v>
      </c>
      <c r="E212" t="s">
        <v>3</v>
      </c>
      <c r="F212" t="s">
        <v>95</v>
      </c>
      <c r="G212" t="s">
        <v>12</v>
      </c>
      <c r="H212" t="s">
        <v>8</v>
      </c>
    </row>
    <row r="213" spans="1:17" ht="16" x14ac:dyDescent="0.2">
      <c r="A213" t="s">
        <v>55</v>
      </c>
      <c r="B213" s="13">
        <v>-0.28000000000000003</v>
      </c>
      <c r="C213" s="13">
        <v>0.44600000000000001</v>
      </c>
      <c r="D213" s="13">
        <v>-8.9999999999999993E-3</v>
      </c>
      <c r="E213" s="13">
        <v>-0.52900000000000003</v>
      </c>
      <c r="F213" s="13">
        <v>-0.49199999999999999</v>
      </c>
      <c r="G213" s="13">
        <v>0.251</v>
      </c>
      <c r="H213" s="13">
        <v>-0.122</v>
      </c>
      <c r="J213" s="13"/>
      <c r="K213" s="13">
        <v>0.35399999999999998</v>
      </c>
      <c r="L213" s="13">
        <v>-0.57199999999999995</v>
      </c>
      <c r="M213" s="13">
        <v>8.5000000000000006E-2</v>
      </c>
      <c r="N213" s="13">
        <v>0.60599999999999998</v>
      </c>
      <c r="O213" s="13">
        <v>0.316</v>
      </c>
      <c r="P213" s="13">
        <v>-0.47</v>
      </c>
      <c r="Q213" s="13">
        <v>0.246</v>
      </c>
    </row>
    <row r="214" spans="1:17" ht="16" x14ac:dyDescent="0.2">
      <c r="A214" t="s">
        <v>26</v>
      </c>
      <c r="B214" s="13">
        <v>0.60699999999999998</v>
      </c>
      <c r="C214" s="13">
        <v>-0.7</v>
      </c>
      <c r="D214" s="13">
        <v>-0.55600000000000005</v>
      </c>
      <c r="E214" s="13">
        <v>-6.3E-2</v>
      </c>
      <c r="F214" s="13">
        <v>-0.41499999999999998</v>
      </c>
      <c r="G214" s="13">
        <v>-0.83799999999999997</v>
      </c>
      <c r="H214" s="13">
        <v>-0.42199999999999999</v>
      </c>
      <c r="J214" s="13"/>
      <c r="K214" s="13">
        <v>-0.58899999999999997</v>
      </c>
      <c r="L214" s="13">
        <v>0.56699999999999995</v>
      </c>
      <c r="M214" s="13">
        <v>0.46200000000000002</v>
      </c>
      <c r="N214" s="13">
        <v>-0.10299999999999999</v>
      </c>
      <c r="O214" s="13">
        <v>-0.13800000000000001</v>
      </c>
      <c r="P214" s="13">
        <v>0.81100000000000005</v>
      </c>
      <c r="Q214" s="13">
        <v>0.33</v>
      </c>
    </row>
    <row r="215" spans="1:17" ht="16" x14ac:dyDescent="0.2">
      <c r="A215" t="s">
        <v>24</v>
      </c>
      <c r="B215" s="13">
        <v>0.185</v>
      </c>
      <c r="C215" s="13">
        <v>-0.76500000000000001</v>
      </c>
      <c r="D215" s="13">
        <v>-0.54900000000000004</v>
      </c>
      <c r="E215" s="13">
        <v>0.56799999999999995</v>
      </c>
      <c r="F215" s="13">
        <v>-0.47099999999999997</v>
      </c>
      <c r="G215" s="13">
        <v>-0.78200000000000003</v>
      </c>
      <c r="H215" s="13">
        <v>-0.432</v>
      </c>
      <c r="J215" s="13"/>
      <c r="K215" s="13">
        <v>-0.25600000000000001</v>
      </c>
      <c r="L215" s="13">
        <v>0.61399999999999999</v>
      </c>
      <c r="M215" s="13">
        <v>0.63400000000000001</v>
      </c>
      <c r="N215" s="13">
        <v>-0.96099999999999997</v>
      </c>
      <c r="O215" s="13">
        <v>-0.19700000000000001</v>
      </c>
      <c r="P215" s="13">
        <v>0.81100000000000005</v>
      </c>
      <c r="Q215" s="13">
        <v>0.307</v>
      </c>
    </row>
    <row r="216" spans="1:17" ht="16" x14ac:dyDescent="0.2">
      <c r="A216" t="s">
        <v>56</v>
      </c>
      <c r="B216" s="13">
        <v>-0.625</v>
      </c>
      <c r="C216" s="13">
        <v>1.6E-2</v>
      </c>
      <c r="D216" s="13">
        <v>-3.3000000000000002E-2</v>
      </c>
      <c r="E216" s="13">
        <v>-0.76300000000000001</v>
      </c>
      <c r="F216" s="13">
        <v>-0.70599999999999996</v>
      </c>
      <c r="G216" s="13">
        <v>0.68899999999999995</v>
      </c>
      <c r="H216" s="13">
        <v>-0.13500000000000001</v>
      </c>
      <c r="J216" s="13"/>
      <c r="K216" s="13">
        <v>0.189</v>
      </c>
      <c r="L216" s="13">
        <v>1.2E-2</v>
      </c>
      <c r="M216" s="13">
        <v>9.0999999999999998E-2</v>
      </c>
      <c r="N216" s="13">
        <v>0.25700000000000001</v>
      </c>
      <c r="O216" s="13">
        <v>8.1000000000000003E-2</v>
      </c>
      <c r="P216" s="13">
        <v>-2.3E-2</v>
      </c>
      <c r="Q216" s="13">
        <v>7.6999999999999999E-2</v>
      </c>
    </row>
    <row r="217" spans="1:17" ht="16" x14ac:dyDescent="0.2">
      <c r="A217" t="s">
        <v>32</v>
      </c>
      <c r="B217" s="13">
        <v>-0.71099999999999997</v>
      </c>
      <c r="C217" s="13">
        <v>-0.16900000000000001</v>
      </c>
      <c r="D217" s="13">
        <v>3.4000000000000002E-2</v>
      </c>
      <c r="E217" s="13">
        <v>-0.70499999999999996</v>
      </c>
      <c r="F217" s="13">
        <v>-0.66400000000000003</v>
      </c>
      <c r="G217" s="13">
        <v>0.27800000000000002</v>
      </c>
      <c r="H217" s="13">
        <v>-0.248</v>
      </c>
      <c r="J217" s="13"/>
      <c r="K217" s="13">
        <v>0.39400000000000002</v>
      </c>
      <c r="L217" s="13">
        <v>1.0999999999999999E-2</v>
      </c>
      <c r="M217" s="13">
        <v>-0.128</v>
      </c>
      <c r="N217" s="13">
        <v>0.86599999999999999</v>
      </c>
      <c r="O217" s="13">
        <v>0.29699999999999999</v>
      </c>
      <c r="P217" s="13">
        <v>-0.20599999999999999</v>
      </c>
      <c r="Q217" s="13">
        <v>0.11899999999999999</v>
      </c>
    </row>
    <row r="218" spans="1:17" ht="16" x14ac:dyDescent="0.2">
      <c r="A218" t="s">
        <v>25</v>
      </c>
      <c r="B218" s="13">
        <v>0.20300000000000001</v>
      </c>
      <c r="C218" s="13">
        <v>-0.53100000000000003</v>
      </c>
      <c r="D218" s="13">
        <v>-0.40400000000000003</v>
      </c>
      <c r="E218" s="13">
        <v>0.27600000000000002</v>
      </c>
      <c r="F218" s="13">
        <v>0.48199999999999998</v>
      </c>
      <c r="G218" s="13">
        <v>-0.69699999999999995</v>
      </c>
      <c r="H218" s="13">
        <v>-0.28799999999999998</v>
      </c>
      <c r="J218" s="13"/>
      <c r="K218" s="13">
        <v>-0.25900000000000001</v>
      </c>
      <c r="L218" s="13">
        <v>0.32100000000000001</v>
      </c>
      <c r="M218" s="13">
        <v>-0.19500000000000001</v>
      </c>
      <c r="N218" s="13">
        <v>-0.52400000000000002</v>
      </c>
      <c r="O218" s="13">
        <v>-0.76300000000000001</v>
      </c>
      <c r="P218" s="13">
        <v>0.53300000000000003</v>
      </c>
      <c r="Q218" s="13">
        <v>-0.13700000000000001</v>
      </c>
    </row>
    <row r="219" spans="1:17" x14ac:dyDescent="0.2">
      <c r="B219" s="1"/>
      <c r="C219" s="1"/>
      <c r="D219" s="1"/>
      <c r="E219" s="1"/>
      <c r="F219" s="1"/>
    </row>
    <row r="220" spans="1:17" x14ac:dyDescent="0.2">
      <c r="A220" t="s">
        <v>114</v>
      </c>
    </row>
    <row r="222" spans="1:17" x14ac:dyDescent="0.2">
      <c r="C222" t="s">
        <v>115</v>
      </c>
    </row>
    <row r="223" spans="1:17" x14ac:dyDescent="0.2">
      <c r="C223" t="s">
        <v>2</v>
      </c>
      <c r="D223" t="s">
        <v>1</v>
      </c>
      <c r="E223" t="s">
        <v>116</v>
      </c>
      <c r="F223" t="s">
        <v>3</v>
      </c>
      <c r="G223" t="s">
        <v>6</v>
      </c>
      <c r="H223" t="s">
        <v>117</v>
      </c>
      <c r="I223" t="s">
        <v>118</v>
      </c>
      <c r="J223" t="s">
        <v>12</v>
      </c>
      <c r="K223" t="s">
        <v>119</v>
      </c>
      <c r="L223" t="s">
        <v>7</v>
      </c>
      <c r="M223" t="s">
        <v>120</v>
      </c>
      <c r="N223" t="s">
        <v>20</v>
      </c>
    </row>
    <row r="224" spans="1:17" x14ac:dyDescent="0.2">
      <c r="C224" t="s">
        <v>121</v>
      </c>
      <c r="D224" t="s">
        <v>121</v>
      </c>
      <c r="E224" t="s">
        <v>121</v>
      </c>
      <c r="F224" t="s">
        <v>121</v>
      </c>
      <c r="G224" t="s">
        <v>121</v>
      </c>
      <c r="H224" t="s">
        <v>121</v>
      </c>
      <c r="I224" t="s">
        <v>121</v>
      </c>
      <c r="J224" t="s">
        <v>121</v>
      </c>
      <c r="K224" t="s">
        <v>121</v>
      </c>
      <c r="L224" t="s">
        <v>121</v>
      </c>
      <c r="M224" t="s">
        <v>121</v>
      </c>
      <c r="N224" t="s">
        <v>121</v>
      </c>
    </row>
    <row r="225" spans="1:14" x14ac:dyDescent="0.2">
      <c r="A225" t="s">
        <v>122</v>
      </c>
      <c r="B225" t="s">
        <v>2</v>
      </c>
      <c r="C225">
        <v>331</v>
      </c>
      <c r="D225">
        <v>6</v>
      </c>
      <c r="E225">
        <v>0</v>
      </c>
      <c r="F225">
        <v>3</v>
      </c>
      <c r="G225">
        <v>2</v>
      </c>
      <c r="H225">
        <v>1</v>
      </c>
      <c r="I225">
        <v>0</v>
      </c>
      <c r="J225">
        <v>0</v>
      </c>
      <c r="K225">
        <v>0</v>
      </c>
      <c r="L225">
        <v>2</v>
      </c>
      <c r="M225">
        <v>15</v>
      </c>
      <c r="N225">
        <v>359</v>
      </c>
    </row>
    <row r="226" spans="1:14" x14ac:dyDescent="0.2">
      <c r="B226" t="s">
        <v>1</v>
      </c>
      <c r="C226">
        <v>32</v>
      </c>
      <c r="D226">
        <v>175</v>
      </c>
      <c r="E226">
        <v>2</v>
      </c>
      <c r="F226">
        <v>14</v>
      </c>
      <c r="G226">
        <v>10</v>
      </c>
      <c r="H226">
        <v>1</v>
      </c>
      <c r="I226">
        <v>0</v>
      </c>
      <c r="J226">
        <v>32</v>
      </c>
      <c r="K226">
        <v>0</v>
      </c>
      <c r="L226">
        <v>15</v>
      </c>
      <c r="M226">
        <v>7</v>
      </c>
      <c r="N226">
        <v>289</v>
      </c>
    </row>
    <row r="227" spans="1:14" x14ac:dyDescent="0.2">
      <c r="B227" t="s">
        <v>5</v>
      </c>
      <c r="C227">
        <v>1</v>
      </c>
      <c r="D227">
        <v>4</v>
      </c>
      <c r="E227">
        <v>17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7</v>
      </c>
      <c r="N227">
        <v>30</v>
      </c>
    </row>
    <row r="228" spans="1:14" x14ac:dyDescent="0.2">
      <c r="B228" t="s">
        <v>3</v>
      </c>
      <c r="C228">
        <v>21</v>
      </c>
      <c r="D228">
        <v>1</v>
      </c>
      <c r="E228">
        <v>4</v>
      </c>
      <c r="F228">
        <v>61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</v>
      </c>
      <c r="N228">
        <v>91</v>
      </c>
    </row>
    <row r="229" spans="1:14" x14ac:dyDescent="0.2">
      <c r="B229" t="s">
        <v>6</v>
      </c>
      <c r="C229">
        <v>6</v>
      </c>
      <c r="D229">
        <v>4</v>
      </c>
      <c r="E229">
        <v>1</v>
      </c>
      <c r="F229">
        <v>0</v>
      </c>
      <c r="G229">
        <v>42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53</v>
      </c>
    </row>
    <row r="230" spans="1:14" x14ac:dyDescent="0.2">
      <c r="B230" t="s">
        <v>117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B231" t="s">
        <v>118</v>
      </c>
      <c r="C231">
        <v>0</v>
      </c>
      <c r="D231">
        <v>0</v>
      </c>
      <c r="E231">
        <v>1</v>
      </c>
      <c r="F231">
        <v>2</v>
      </c>
      <c r="G231">
        <v>0</v>
      </c>
      <c r="H231">
        <v>0</v>
      </c>
      <c r="I231">
        <v>10</v>
      </c>
      <c r="J231">
        <v>0</v>
      </c>
      <c r="K231">
        <v>0</v>
      </c>
      <c r="L231">
        <v>0</v>
      </c>
      <c r="M231">
        <v>2</v>
      </c>
      <c r="N231">
        <v>15</v>
      </c>
    </row>
    <row r="232" spans="1:14" x14ac:dyDescent="0.2">
      <c r="B232" t="s">
        <v>12</v>
      </c>
      <c r="C232">
        <v>5</v>
      </c>
      <c r="D232">
        <v>10</v>
      </c>
      <c r="E232">
        <v>4</v>
      </c>
      <c r="F232">
        <v>2</v>
      </c>
      <c r="G232">
        <v>0</v>
      </c>
      <c r="H232">
        <v>0</v>
      </c>
      <c r="I232">
        <v>0</v>
      </c>
      <c r="J232">
        <v>76</v>
      </c>
      <c r="K232">
        <v>0</v>
      </c>
      <c r="L232">
        <v>0</v>
      </c>
      <c r="M232">
        <v>1</v>
      </c>
      <c r="N232">
        <v>98</v>
      </c>
    </row>
    <row r="233" spans="1:14" x14ac:dyDescent="0.2">
      <c r="B233" t="s">
        <v>123</v>
      </c>
      <c r="C233">
        <v>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</v>
      </c>
    </row>
    <row r="234" spans="1:14" x14ac:dyDescent="0.2">
      <c r="B234" t="s">
        <v>124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11</v>
      </c>
      <c r="L234">
        <v>0</v>
      </c>
      <c r="M234">
        <v>0</v>
      </c>
      <c r="N234">
        <v>11</v>
      </c>
    </row>
    <row r="235" spans="1:14" x14ac:dyDescent="0.2">
      <c r="B235" t="s">
        <v>125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B236" t="s">
        <v>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</v>
      </c>
      <c r="M236">
        <v>0</v>
      </c>
      <c r="N236">
        <v>13</v>
      </c>
    </row>
    <row r="237" spans="1:14" x14ac:dyDescent="0.2">
      <c r="B237" t="s">
        <v>8</v>
      </c>
      <c r="C237">
        <v>1</v>
      </c>
      <c r="D237">
        <v>16</v>
      </c>
      <c r="E237">
        <v>0</v>
      </c>
      <c r="F237">
        <v>0</v>
      </c>
      <c r="G237">
        <v>0</v>
      </c>
      <c r="H237">
        <v>0</v>
      </c>
      <c r="I237">
        <v>11</v>
      </c>
      <c r="J237">
        <v>0</v>
      </c>
      <c r="K237">
        <v>0</v>
      </c>
      <c r="L237">
        <v>0</v>
      </c>
      <c r="M237">
        <v>14</v>
      </c>
      <c r="N237">
        <v>42</v>
      </c>
    </row>
    <row r="238" spans="1:14" x14ac:dyDescent="0.2">
      <c r="B238" t="s">
        <v>126</v>
      </c>
      <c r="C238">
        <v>1</v>
      </c>
      <c r="D238">
        <v>0</v>
      </c>
      <c r="E238">
        <v>0</v>
      </c>
      <c r="F238">
        <v>0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16</v>
      </c>
      <c r="N238">
        <v>21</v>
      </c>
    </row>
    <row r="239" spans="1:14" x14ac:dyDescent="0.2">
      <c r="B239" t="s">
        <v>20</v>
      </c>
      <c r="C239">
        <v>404</v>
      </c>
      <c r="D239">
        <v>216</v>
      </c>
      <c r="E239">
        <v>29</v>
      </c>
      <c r="F239">
        <v>81</v>
      </c>
      <c r="G239">
        <v>58</v>
      </c>
      <c r="H239">
        <v>2</v>
      </c>
      <c r="I239">
        <v>21</v>
      </c>
      <c r="J239">
        <v>109</v>
      </c>
      <c r="K239">
        <v>11</v>
      </c>
      <c r="L239">
        <v>30</v>
      </c>
      <c r="M239">
        <v>64</v>
      </c>
      <c r="N239">
        <v>1026</v>
      </c>
    </row>
    <row r="241" spans="1:5" x14ac:dyDescent="0.2">
      <c r="B241" t="s">
        <v>127</v>
      </c>
      <c r="C241" t="s">
        <v>129</v>
      </c>
      <c r="D241" t="s">
        <v>130</v>
      </c>
      <c r="E241" t="s">
        <v>131</v>
      </c>
    </row>
    <row r="243" spans="1:5" x14ac:dyDescent="0.2">
      <c r="A243" t="s">
        <v>36</v>
      </c>
      <c r="B243" s="1">
        <f>C225/C$239</f>
        <v>0.81930693069306926</v>
      </c>
      <c r="C243" s="1">
        <f>D225/D$239</f>
        <v>2.7777777777777776E-2</v>
      </c>
      <c r="D243" s="1">
        <f>C225/N225</f>
        <v>0.92200557103064062</v>
      </c>
      <c r="E243" s="1">
        <f>C226/N226</f>
        <v>0.11072664359861592</v>
      </c>
    </row>
    <row r="244" spans="1:5" x14ac:dyDescent="0.2">
      <c r="A244" t="s">
        <v>37</v>
      </c>
      <c r="B244" s="1">
        <f>C226/C$239</f>
        <v>7.9207920792079209E-2</v>
      </c>
      <c r="C244" s="1">
        <f>D226/D$239</f>
        <v>0.81018518518518523</v>
      </c>
      <c r="D244" s="1">
        <f>D225/N225</f>
        <v>1.6713091922005572E-2</v>
      </c>
      <c r="E244" s="1">
        <f>D226/N226</f>
        <v>0.60553633217993075</v>
      </c>
    </row>
    <row r="245" spans="1:5" x14ac:dyDescent="0.2">
      <c r="A245" t="s">
        <v>3</v>
      </c>
      <c r="B245" s="1">
        <f>C228/C239</f>
        <v>5.1980198019801978E-2</v>
      </c>
      <c r="C245" s="1">
        <f>D228/D239</f>
        <v>4.6296296296296294E-3</v>
      </c>
      <c r="D245" s="1">
        <f>F225/N225</f>
        <v>8.356545961002786E-3</v>
      </c>
      <c r="E245" s="1">
        <f>F226/N226</f>
        <v>4.8442906574394463E-2</v>
      </c>
    </row>
    <row r="246" spans="1:5" x14ac:dyDescent="0.2">
      <c r="A246" t="s">
        <v>95</v>
      </c>
      <c r="B246" s="1">
        <f>C229/C239</f>
        <v>1.4851485148514851E-2</v>
      </c>
      <c r="C246" s="1">
        <f>D229/D239</f>
        <v>1.8518518518518517E-2</v>
      </c>
      <c r="D246" s="1">
        <f>G225/N225</f>
        <v>5.5710306406685237E-3</v>
      </c>
      <c r="E246" s="1">
        <f>G226/N226</f>
        <v>3.4602076124567477E-2</v>
      </c>
    </row>
    <row r="247" spans="1:5" x14ac:dyDescent="0.2">
      <c r="A247" t="s">
        <v>12</v>
      </c>
      <c r="B247" s="1">
        <f>C232/C239</f>
        <v>1.2376237623762377E-2</v>
      </c>
      <c r="C247" s="1">
        <f>D232/D239</f>
        <v>4.6296296296296294E-2</v>
      </c>
      <c r="D247" s="1">
        <f>J225/N225</f>
        <v>0</v>
      </c>
      <c r="E247" s="1">
        <f>J226/N226</f>
        <v>0.11072664359861592</v>
      </c>
    </row>
    <row r="248" spans="1:5" x14ac:dyDescent="0.2">
      <c r="A248" t="s">
        <v>128</v>
      </c>
      <c r="B248" s="1">
        <f>1-SUM(B243:B247)-B249</f>
        <v>1.9801980198019823E-2</v>
      </c>
      <c r="C248" s="1">
        <f>1-SUM(C243:C247)-C249</f>
        <v>1.851851851851849E-2</v>
      </c>
      <c r="D248" s="1">
        <f>1-SUM(D243:D247)-D249</f>
        <v>5.5710306406685853E-3</v>
      </c>
      <c r="E248" s="1">
        <f>1-SUM(E243:E247)-E249</f>
        <v>6.574394463667825E-2</v>
      </c>
    </row>
    <row r="249" spans="1:5" x14ac:dyDescent="0.2">
      <c r="A249" t="s">
        <v>8</v>
      </c>
      <c r="B249" s="1">
        <f>C237/C239</f>
        <v>2.4752475247524753E-3</v>
      </c>
      <c r="C249" s="1">
        <f>D237/D239</f>
        <v>7.407407407407407E-2</v>
      </c>
      <c r="D249" s="1">
        <f>M225/N225</f>
        <v>4.1782729805013928E-2</v>
      </c>
      <c r="E249" s="1">
        <f>M226/N226</f>
        <v>2.4221453287197232E-2</v>
      </c>
    </row>
    <row r="251" spans="1:5" x14ac:dyDescent="0.2">
      <c r="B251" s="3">
        <f>SUM(B243:B249)</f>
        <v>1</v>
      </c>
      <c r="C251" s="3">
        <f t="shared" ref="C251:E251" si="36">SUM(C243:C249)</f>
        <v>1</v>
      </c>
      <c r="D251" s="3">
        <f t="shared" si="36"/>
        <v>1</v>
      </c>
      <c r="E251" s="3">
        <f t="shared" si="36"/>
        <v>1</v>
      </c>
    </row>
  </sheetData>
  <sortState xmlns:xlrd2="http://schemas.microsoft.com/office/spreadsheetml/2017/richdata2" ref="A53:C74">
    <sortCondition ref="C53:C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3B94-B31D-468C-B7B4-868AA5D6E3B7}">
  <dimension ref="A1:BH86"/>
  <sheetViews>
    <sheetView topLeftCell="AE11" zoomScaleNormal="100" workbookViewId="0">
      <pane ySplit="3740" topLeftCell="A49" activePane="bottomLeft"/>
      <selection activeCell="AN3" sqref="AN3"/>
      <selection pane="bottomLeft" activeCell="A64" sqref="A64"/>
    </sheetView>
  </sheetViews>
  <sheetFormatPr baseColWidth="10" defaultColWidth="8.83203125" defaultRowHeight="15" x14ac:dyDescent="0.2"/>
  <cols>
    <col min="1" max="1" width="10.5" bestFit="1" customWidth="1"/>
    <col min="35" max="35" width="9.33203125" bestFit="1" customWidth="1"/>
    <col min="36" max="38" width="10" bestFit="1" customWidth="1"/>
    <col min="40" max="40" width="9.83203125" bestFit="1" customWidth="1"/>
    <col min="43" max="44" width="9.83203125" bestFit="1" customWidth="1"/>
    <col min="45" max="45" width="9.83203125" customWidth="1"/>
    <col min="46" max="46" width="9.83203125" bestFit="1" customWidth="1"/>
    <col min="51" max="52" width="13.6640625" bestFit="1" customWidth="1"/>
  </cols>
  <sheetData>
    <row r="1" spans="1:60" x14ac:dyDescent="0.2">
      <c r="A1" s="8" t="s">
        <v>73</v>
      </c>
      <c r="I1" s="8" t="s">
        <v>75</v>
      </c>
      <c r="M1" s="8" t="s">
        <v>82</v>
      </c>
    </row>
    <row r="3" spans="1:60" x14ac:dyDescent="0.2">
      <c r="B3" t="s">
        <v>1</v>
      </c>
      <c r="C3" t="s">
        <v>2</v>
      </c>
      <c r="D3" t="s">
        <v>3</v>
      </c>
      <c r="E3" t="s">
        <v>12</v>
      </c>
      <c r="F3" t="s">
        <v>94</v>
      </c>
      <c r="G3" t="s">
        <v>6</v>
      </c>
      <c r="I3" t="s">
        <v>11</v>
      </c>
      <c r="J3" t="s">
        <v>62</v>
      </c>
      <c r="K3" t="s">
        <v>63</v>
      </c>
      <c r="N3" t="s">
        <v>28</v>
      </c>
      <c r="O3" t="s">
        <v>29</v>
      </c>
      <c r="P3" t="s">
        <v>52</v>
      </c>
    </row>
    <row r="4" spans="1:60" x14ac:dyDescent="0.2">
      <c r="A4" s="4">
        <v>44197</v>
      </c>
      <c r="B4" s="1">
        <v>0.47</v>
      </c>
      <c r="C4" s="1">
        <v>0.25</v>
      </c>
      <c r="D4" s="1">
        <v>0.09</v>
      </c>
      <c r="E4" s="1">
        <v>0.11</v>
      </c>
      <c r="F4" s="1">
        <v>0.02</v>
      </c>
      <c r="G4" s="1">
        <v>0.02</v>
      </c>
      <c r="I4" s="4">
        <v>44197</v>
      </c>
      <c r="J4" s="7">
        <v>74</v>
      </c>
      <c r="K4" s="7">
        <v>43</v>
      </c>
      <c r="M4" s="4">
        <v>44197</v>
      </c>
      <c r="N4" s="6">
        <f>P4-O4</f>
        <v>0.72</v>
      </c>
      <c r="O4" s="6">
        <v>-0.19</v>
      </c>
      <c r="P4" s="6">
        <v>0.53</v>
      </c>
    </row>
    <row r="5" spans="1:60" x14ac:dyDescent="0.2">
      <c r="A5" s="4">
        <v>44228</v>
      </c>
      <c r="B5" s="1">
        <v>0.45</v>
      </c>
      <c r="C5" s="1">
        <v>0.28999999999999998</v>
      </c>
      <c r="D5" s="1">
        <v>0.08</v>
      </c>
      <c r="E5" s="1">
        <v>0.13</v>
      </c>
      <c r="F5" s="1">
        <v>0.01</v>
      </c>
      <c r="G5" s="1">
        <v>0.02</v>
      </c>
      <c r="I5" s="4">
        <v>44228</v>
      </c>
      <c r="J5" s="7">
        <v>73</v>
      </c>
      <c r="K5" s="7">
        <v>46</v>
      </c>
      <c r="M5" s="4">
        <v>44228</v>
      </c>
      <c r="N5" s="6">
        <f t="shared" ref="N5:N10" si="0">P5-O5</f>
        <v>0.71</v>
      </c>
      <c r="O5" s="6">
        <v>-0.21</v>
      </c>
      <c r="P5" s="6">
        <v>0.5</v>
      </c>
    </row>
    <row r="6" spans="1:60" x14ac:dyDescent="0.2">
      <c r="A6" s="4">
        <v>44256</v>
      </c>
      <c r="B6" s="1">
        <v>0.47</v>
      </c>
      <c r="C6" s="1">
        <v>0.25</v>
      </c>
      <c r="D6" s="1">
        <v>0.1</v>
      </c>
      <c r="E6" s="1">
        <v>0.1</v>
      </c>
      <c r="F6" s="1">
        <v>0.01</v>
      </c>
      <c r="G6" s="1">
        <v>0.02</v>
      </c>
      <c r="I6" s="4">
        <v>44256</v>
      </c>
      <c r="J6" s="7">
        <v>74</v>
      </c>
      <c r="K6" s="7">
        <v>45</v>
      </c>
      <c r="M6" s="4">
        <v>44256</v>
      </c>
      <c r="N6" s="6">
        <f t="shared" si="0"/>
        <v>0.63</v>
      </c>
      <c r="O6" s="6">
        <v>-0.27</v>
      </c>
      <c r="P6" s="6">
        <v>0.36</v>
      </c>
    </row>
    <row r="7" spans="1:60" x14ac:dyDescent="0.2">
      <c r="A7" s="4">
        <v>44287</v>
      </c>
      <c r="B7" s="1">
        <v>0.42</v>
      </c>
      <c r="C7" s="1">
        <v>0.28999999999999998</v>
      </c>
      <c r="D7" s="1">
        <v>0.09</v>
      </c>
      <c r="E7" s="1">
        <v>0.13</v>
      </c>
      <c r="F7" s="1">
        <v>0.02</v>
      </c>
      <c r="G7" s="1">
        <v>0.01</v>
      </c>
      <c r="I7" s="4">
        <v>44287</v>
      </c>
      <c r="J7" s="7">
        <v>69</v>
      </c>
      <c r="K7" s="7">
        <v>48</v>
      </c>
      <c r="M7" s="4">
        <v>44287</v>
      </c>
      <c r="N7" s="6">
        <f t="shared" si="0"/>
        <v>0.64</v>
      </c>
      <c r="O7" s="6">
        <v>-0.28000000000000003</v>
      </c>
      <c r="P7" s="6">
        <v>0.36</v>
      </c>
      <c r="W7" s="2"/>
    </row>
    <row r="8" spans="1:60" x14ac:dyDescent="0.2">
      <c r="A8" s="4">
        <v>44317</v>
      </c>
      <c r="B8" s="1">
        <v>0.48</v>
      </c>
      <c r="C8" s="1">
        <v>0.28000000000000003</v>
      </c>
      <c r="D8" s="1">
        <v>0.08</v>
      </c>
      <c r="E8" s="1">
        <v>0.09</v>
      </c>
      <c r="F8" s="1">
        <v>0.02</v>
      </c>
      <c r="G8" s="1">
        <v>0.02</v>
      </c>
      <c r="I8" s="4">
        <v>44317</v>
      </c>
      <c r="J8" s="7">
        <v>71</v>
      </c>
      <c r="K8" s="7">
        <v>46</v>
      </c>
      <c r="M8" s="4">
        <v>44317</v>
      </c>
      <c r="N8" s="6">
        <f t="shared" si="0"/>
        <v>0.63</v>
      </c>
      <c r="O8" s="6">
        <v>-0.28999999999999998</v>
      </c>
      <c r="P8" s="6">
        <v>0.34</v>
      </c>
      <c r="W8" s="2"/>
    </row>
    <row r="9" spans="1:60" x14ac:dyDescent="0.2">
      <c r="A9" s="4">
        <v>44348</v>
      </c>
      <c r="B9" s="1">
        <v>0.39</v>
      </c>
      <c r="C9" s="1">
        <v>0.28999999999999998</v>
      </c>
      <c r="D9" s="1">
        <v>0.12</v>
      </c>
      <c r="E9" s="1">
        <v>0.12</v>
      </c>
      <c r="F9" s="1">
        <v>0.02</v>
      </c>
      <c r="G9" s="1">
        <v>0.02</v>
      </c>
      <c r="I9" s="4">
        <v>44348</v>
      </c>
      <c r="J9" s="7">
        <v>65</v>
      </c>
      <c r="K9" s="7">
        <v>52</v>
      </c>
      <c r="M9" s="4">
        <v>44348</v>
      </c>
      <c r="N9" s="6">
        <f t="shared" si="0"/>
        <v>0.58000000000000007</v>
      </c>
      <c r="O9" s="6">
        <v>-0.34</v>
      </c>
      <c r="P9" s="6">
        <v>0.24</v>
      </c>
      <c r="R9" s="8" t="s">
        <v>85</v>
      </c>
      <c r="W9" s="2"/>
      <c r="AB9" s="8" t="s">
        <v>88</v>
      </c>
      <c r="AH9" s="8" t="s">
        <v>80</v>
      </c>
      <c r="AM9" s="8" t="s">
        <v>87</v>
      </c>
    </row>
    <row r="10" spans="1:60" x14ac:dyDescent="0.2">
      <c r="A10" s="4">
        <v>44378</v>
      </c>
      <c r="B10" s="1">
        <v>0.41</v>
      </c>
      <c r="C10" s="1">
        <v>0.28999999999999998</v>
      </c>
      <c r="D10" s="1">
        <v>0.12</v>
      </c>
      <c r="E10" s="1">
        <v>0.09</v>
      </c>
      <c r="F10" s="1">
        <v>0.02</v>
      </c>
      <c r="G10" s="1">
        <v>0.03</v>
      </c>
      <c r="I10" s="4">
        <v>44378</v>
      </c>
      <c r="J10" s="7">
        <v>66</v>
      </c>
      <c r="K10" s="7">
        <v>51</v>
      </c>
      <c r="M10" s="4">
        <v>44378</v>
      </c>
      <c r="N10" s="6">
        <f t="shared" si="0"/>
        <v>0.55999999999999994</v>
      </c>
      <c r="O10" s="6">
        <v>-0.35</v>
      </c>
      <c r="P10" s="6">
        <v>0.21</v>
      </c>
      <c r="W10" s="2"/>
    </row>
    <row r="11" spans="1:60" x14ac:dyDescent="0.2">
      <c r="A11" s="4">
        <v>44409</v>
      </c>
      <c r="B11" s="1">
        <v>0.4</v>
      </c>
      <c r="C11" s="1">
        <v>0.25</v>
      </c>
      <c r="D11" s="1">
        <v>0.13</v>
      </c>
      <c r="E11" s="1">
        <v>0.12</v>
      </c>
      <c r="F11" s="1">
        <v>0.02</v>
      </c>
      <c r="G11" s="1">
        <v>0.03</v>
      </c>
      <c r="I11" s="4">
        <v>44409</v>
      </c>
      <c r="J11" s="7">
        <v>68</v>
      </c>
      <c r="K11" s="7">
        <v>49</v>
      </c>
      <c r="M11" s="4">
        <v>44409</v>
      </c>
      <c r="N11" s="1">
        <v>0.52500000000000002</v>
      </c>
      <c r="O11" s="1">
        <v>-0.38</v>
      </c>
      <c r="P11" s="6">
        <f>N11+O11</f>
        <v>0.14500000000000002</v>
      </c>
      <c r="R11" t="s">
        <v>13</v>
      </c>
      <c r="S11" t="s">
        <v>67</v>
      </c>
      <c r="T11" t="s">
        <v>70</v>
      </c>
      <c r="U11" t="s">
        <v>97</v>
      </c>
      <c r="V11" t="s">
        <v>15</v>
      </c>
      <c r="W11" t="s">
        <v>16</v>
      </c>
      <c r="X11" t="s">
        <v>17</v>
      </c>
      <c r="Y11" t="s">
        <v>96</v>
      </c>
      <c r="Z11" t="s">
        <v>18</v>
      </c>
      <c r="AA11" t="s">
        <v>19</v>
      </c>
      <c r="AC11" t="s">
        <v>89</v>
      </c>
      <c r="AD11" t="s">
        <v>24</v>
      </c>
      <c r="AE11" t="s">
        <v>26</v>
      </c>
      <c r="AF11" t="s">
        <v>25</v>
      </c>
      <c r="AG11" t="s">
        <v>56</v>
      </c>
      <c r="AI11" t="s">
        <v>89</v>
      </c>
      <c r="AJ11" t="s">
        <v>24</v>
      </c>
      <c r="AK11" t="s">
        <v>25</v>
      </c>
      <c r="AL11" t="s">
        <v>26</v>
      </c>
      <c r="AN11" t="s">
        <v>13</v>
      </c>
      <c r="AO11" t="s">
        <v>19</v>
      </c>
      <c r="AP11" t="s">
        <v>18</v>
      </c>
      <c r="AQ11" t="s">
        <v>71</v>
      </c>
      <c r="AR11" t="s">
        <v>90</v>
      </c>
      <c r="AS11" t="s">
        <v>140</v>
      </c>
      <c r="AT11" t="s">
        <v>35</v>
      </c>
      <c r="AU11" t="s">
        <v>141</v>
      </c>
      <c r="AV11" t="s">
        <v>17</v>
      </c>
      <c r="AW11" t="s">
        <v>16</v>
      </c>
      <c r="AY11" t="s">
        <v>13</v>
      </c>
      <c r="AZ11" t="s">
        <v>19</v>
      </c>
      <c r="BA11" t="s">
        <v>18</v>
      </c>
      <c r="BB11" t="s">
        <v>71</v>
      </c>
      <c r="BC11" t="s">
        <v>90</v>
      </c>
      <c r="BD11" t="s">
        <v>140</v>
      </c>
      <c r="BE11" t="s">
        <v>35</v>
      </c>
      <c r="BF11" t="s">
        <v>141</v>
      </c>
      <c r="BG11" t="s">
        <v>17</v>
      </c>
      <c r="BH11" t="s">
        <v>16</v>
      </c>
    </row>
    <row r="12" spans="1:60" x14ac:dyDescent="0.2">
      <c r="A12" s="4">
        <v>44440</v>
      </c>
      <c r="B12" s="1">
        <v>0.45800000000000002</v>
      </c>
      <c r="C12" s="1">
        <v>0.214</v>
      </c>
      <c r="D12" s="1">
        <v>0.14899999999999999</v>
      </c>
      <c r="E12" s="1">
        <v>9.6000000000000002E-2</v>
      </c>
      <c r="F12" s="1">
        <v>1.2E-2</v>
      </c>
      <c r="G12" s="1">
        <v>2.7E-2</v>
      </c>
      <c r="I12" s="4">
        <v>44440</v>
      </c>
      <c r="J12" s="7">
        <v>73</v>
      </c>
      <c r="K12" s="7">
        <v>46</v>
      </c>
      <c r="M12" s="4">
        <v>44440</v>
      </c>
      <c r="N12" s="1">
        <v>0.51900000000000002</v>
      </c>
      <c r="O12" s="1">
        <v>-0.28000000000000003</v>
      </c>
      <c r="P12" s="6">
        <f t="shared" ref="P12:P64" si="1">N12+O12</f>
        <v>0.23899999999999999</v>
      </c>
      <c r="Q12" s="4">
        <v>44440</v>
      </c>
      <c r="R12" s="2">
        <v>0.14699999999999999</v>
      </c>
      <c r="S12" s="2">
        <v>0.02</v>
      </c>
      <c r="T12" s="2">
        <v>0.03</v>
      </c>
      <c r="U12" s="2"/>
      <c r="V12" s="2">
        <v>7.1999999999999995E-2</v>
      </c>
      <c r="W12" s="2">
        <v>5.8999999999999997E-2</v>
      </c>
      <c r="X12" s="2">
        <v>4.2000000000000003E-2</v>
      </c>
      <c r="Y12" s="2"/>
      <c r="Z12" s="2">
        <v>3.5000000000000003E-2</v>
      </c>
      <c r="AA12" s="2">
        <v>4.5999999999999999E-2</v>
      </c>
      <c r="AB12" s="4">
        <v>44440</v>
      </c>
      <c r="AC12" s="6">
        <v>0.50800000000000001</v>
      </c>
      <c r="AD12" s="6">
        <v>9.2999999999999999E-2</v>
      </c>
      <c r="AE12" s="6">
        <v>3.3000000000000002E-2</v>
      </c>
      <c r="AF12" s="6">
        <v>1.4999999999999999E-2</v>
      </c>
      <c r="AG12" s="6"/>
      <c r="AH12" s="4">
        <v>44440</v>
      </c>
      <c r="AI12" s="6">
        <v>0.317</v>
      </c>
      <c r="AJ12" s="6">
        <v>-0.17100000000000001</v>
      </c>
      <c r="AK12" s="6"/>
      <c r="AL12" s="6">
        <v>-0.32700000000000001</v>
      </c>
      <c r="AM12" s="4">
        <v>44440</v>
      </c>
      <c r="AN12" s="3">
        <v>3.0000000000000001E-3</v>
      </c>
      <c r="AO12" s="3">
        <v>0.35099999999999998</v>
      </c>
      <c r="AP12" s="3"/>
      <c r="AQ12" s="3"/>
      <c r="AR12" s="3"/>
      <c r="AS12" s="3"/>
      <c r="AT12" s="3">
        <v>0.14299999999999999</v>
      </c>
    </row>
    <row r="13" spans="1:60" x14ac:dyDescent="0.2">
      <c r="A13" s="4">
        <v>44470</v>
      </c>
      <c r="B13" s="1">
        <v>0.44700000000000001</v>
      </c>
      <c r="C13" s="1">
        <v>0.22500000000000001</v>
      </c>
      <c r="D13" s="1">
        <v>0.16600000000000001</v>
      </c>
      <c r="E13" s="1">
        <v>6.4000000000000001E-2</v>
      </c>
      <c r="F13" s="1">
        <v>1.4999999999999999E-2</v>
      </c>
      <c r="G13" s="1">
        <v>3.6000000000000004E-2</v>
      </c>
      <c r="I13" s="4">
        <v>44470</v>
      </c>
      <c r="J13" s="7">
        <v>66</v>
      </c>
      <c r="K13" s="7">
        <v>51</v>
      </c>
      <c r="M13" s="4">
        <v>44470</v>
      </c>
      <c r="N13" s="1">
        <v>0.51300000000000001</v>
      </c>
      <c r="O13" s="1">
        <v>-0.36</v>
      </c>
      <c r="P13" s="6">
        <f t="shared" si="1"/>
        <v>0.15300000000000002</v>
      </c>
      <c r="Q13" s="4">
        <v>44470</v>
      </c>
      <c r="R13" s="2">
        <v>9.9000000000000005E-2</v>
      </c>
      <c r="S13" s="2">
        <v>0.01</v>
      </c>
      <c r="T13" s="2">
        <v>4.4999999999999998E-2</v>
      </c>
      <c r="U13" s="2"/>
      <c r="V13" s="2">
        <v>5.5E-2</v>
      </c>
      <c r="W13" s="2">
        <v>5.5E-2</v>
      </c>
      <c r="X13" s="2">
        <v>3.5000000000000003E-2</v>
      </c>
      <c r="Y13" s="2"/>
      <c r="Z13" s="2">
        <v>1.9E-2</v>
      </c>
      <c r="AA13" s="2">
        <v>4.2000000000000003E-2</v>
      </c>
      <c r="AB13" s="4">
        <v>44470</v>
      </c>
      <c r="AC13" s="1">
        <v>0.47200000000000003</v>
      </c>
      <c r="AD13" s="1">
        <v>0.12300000000000001</v>
      </c>
      <c r="AE13" s="1">
        <v>2.3E-2</v>
      </c>
      <c r="AF13" s="1">
        <v>1.2999999999999999E-2</v>
      </c>
      <c r="AG13" s="1"/>
      <c r="AH13" s="4">
        <v>44470</v>
      </c>
      <c r="AI13" s="6">
        <v>0.33</v>
      </c>
      <c r="AJ13" s="6">
        <v>-4.9000000000000002E-2</v>
      </c>
      <c r="AK13" s="6"/>
      <c r="AL13" s="6">
        <v>-0.2</v>
      </c>
      <c r="AM13" s="4">
        <v>44470</v>
      </c>
      <c r="AN13" s="3">
        <v>4.9000000000000002E-2</v>
      </c>
      <c r="AO13" s="3">
        <v>0.36299999999999999</v>
      </c>
      <c r="AP13" s="3"/>
      <c r="AQ13" s="3"/>
      <c r="AR13" s="3"/>
      <c r="AS13" s="3"/>
      <c r="AT13" s="3">
        <v>4.4000000000000004E-2</v>
      </c>
    </row>
    <row r="14" spans="1:60" x14ac:dyDescent="0.2">
      <c r="A14" s="4">
        <v>44501</v>
      </c>
      <c r="B14" s="1">
        <v>0.39399999999999996</v>
      </c>
      <c r="C14" s="1">
        <v>0.26200000000000001</v>
      </c>
      <c r="D14" s="1">
        <v>0.159</v>
      </c>
      <c r="E14" s="1">
        <v>8.5999999999999993E-2</v>
      </c>
      <c r="F14" s="1">
        <v>2.2000000000000002E-2</v>
      </c>
      <c r="G14" s="1">
        <v>1.6E-2</v>
      </c>
      <c r="I14" s="4">
        <v>44501</v>
      </c>
      <c r="J14" s="7">
        <v>62</v>
      </c>
      <c r="K14" s="7">
        <v>55</v>
      </c>
      <c r="M14" s="4">
        <v>44501</v>
      </c>
      <c r="N14" s="1">
        <v>0.44</v>
      </c>
      <c r="O14" s="1">
        <v>-0.45</v>
      </c>
      <c r="P14" s="6">
        <f t="shared" si="1"/>
        <v>-1.0000000000000009E-2</v>
      </c>
      <c r="Q14" s="4">
        <v>44501</v>
      </c>
      <c r="R14" s="2">
        <v>0.13200000000000001</v>
      </c>
      <c r="S14" s="2">
        <v>0.02</v>
      </c>
      <c r="T14" s="2">
        <v>4.4999999999999998E-2</v>
      </c>
      <c r="U14" s="2"/>
      <c r="V14" s="2">
        <v>7.2999999999999995E-2</v>
      </c>
      <c r="W14" s="2">
        <v>0.10100000000000001</v>
      </c>
      <c r="X14" s="2">
        <v>2.8000000000000001E-2</v>
      </c>
      <c r="Y14" s="2"/>
      <c r="Z14" s="2">
        <v>2.5000000000000001E-2</v>
      </c>
      <c r="AA14" s="2">
        <v>3.3000000000000002E-2</v>
      </c>
      <c r="AB14" s="4">
        <v>44501</v>
      </c>
      <c r="AC14" s="1">
        <v>0.34</v>
      </c>
      <c r="AD14" s="1">
        <v>0.105</v>
      </c>
      <c r="AE14" s="1">
        <v>4.0999999999999995E-2</v>
      </c>
      <c r="AF14" s="1">
        <v>1.4999999999999999E-2</v>
      </c>
      <c r="AG14" s="1"/>
      <c r="AH14" s="4">
        <v>44501</v>
      </c>
      <c r="AI14" s="1">
        <v>0.18</v>
      </c>
      <c r="AJ14" s="1">
        <v>0.03</v>
      </c>
      <c r="AK14" s="6"/>
      <c r="AL14" s="6">
        <v>-0.06</v>
      </c>
      <c r="AM14" s="4">
        <v>44501</v>
      </c>
      <c r="AN14" s="3">
        <v>-8.2000000000000003E-2</v>
      </c>
      <c r="AO14" s="3">
        <v>0.24299999999999999</v>
      </c>
      <c r="AP14" s="3"/>
      <c r="AQ14" s="3"/>
      <c r="AR14" s="3"/>
      <c r="AS14" s="3"/>
      <c r="AT14" s="3">
        <v>-5.7000000000000002E-2</v>
      </c>
    </row>
    <row r="15" spans="1:60" x14ac:dyDescent="0.2">
      <c r="A15" s="4">
        <v>44531</v>
      </c>
      <c r="B15" s="1">
        <v>0.39399999999999996</v>
      </c>
      <c r="C15" s="1">
        <v>0.32500000000000001</v>
      </c>
      <c r="D15" s="1">
        <v>0.106</v>
      </c>
      <c r="E15" s="1">
        <v>0.109</v>
      </c>
      <c r="F15" s="1">
        <v>3.1E-2</v>
      </c>
      <c r="G15" s="1">
        <v>2.4E-2</v>
      </c>
      <c r="I15" s="4">
        <v>44531</v>
      </c>
      <c r="J15" s="7">
        <v>63</v>
      </c>
      <c r="K15" s="7">
        <v>53</v>
      </c>
      <c r="M15" s="4">
        <v>44531</v>
      </c>
      <c r="N15" s="1">
        <v>0.45899999999999996</v>
      </c>
      <c r="O15" s="1">
        <v>-0.42</v>
      </c>
      <c r="P15" s="6">
        <f t="shared" si="1"/>
        <v>3.8999999999999979E-2</v>
      </c>
      <c r="Q15" s="4">
        <v>44531</v>
      </c>
      <c r="R15" s="2">
        <v>0.14299999999999999</v>
      </c>
      <c r="S15" s="2">
        <v>0.01</v>
      </c>
      <c r="T15" s="2">
        <v>4.7E-2</v>
      </c>
      <c r="U15" s="2"/>
      <c r="V15" s="2">
        <v>7.6999999999999999E-2</v>
      </c>
      <c r="W15" s="2">
        <v>5.8000000000000003E-2</v>
      </c>
      <c r="X15" s="2">
        <v>9.1999999999999998E-2</v>
      </c>
      <c r="Y15" s="2"/>
      <c r="Z15" s="2">
        <v>4.2999999999999997E-2</v>
      </c>
      <c r="AA15" s="2">
        <v>5.8000000000000003E-2</v>
      </c>
      <c r="AB15" s="4">
        <v>44531</v>
      </c>
      <c r="AC15" s="1">
        <v>0.39100000000000001</v>
      </c>
      <c r="AD15" s="6">
        <v>5.6000000000000001E-2</v>
      </c>
      <c r="AE15" s="1">
        <v>0.20399999999999999</v>
      </c>
      <c r="AF15" s="1">
        <v>2.4E-2</v>
      </c>
      <c r="AG15" s="1"/>
      <c r="AH15" s="4">
        <v>44531</v>
      </c>
      <c r="AI15" s="1">
        <v>0.14000000000000001</v>
      </c>
      <c r="AJ15" s="1">
        <v>3.5000000000000003E-2</v>
      </c>
      <c r="AK15" s="6"/>
      <c r="AL15" s="6">
        <v>0.15</v>
      </c>
      <c r="AM15" s="4">
        <v>44531</v>
      </c>
      <c r="AN15" s="3">
        <v>-2.7000000000000003E-2</v>
      </c>
      <c r="AO15" s="3">
        <v>0.16399999999999998</v>
      </c>
      <c r="AP15" s="3"/>
      <c r="AQ15" s="3"/>
      <c r="AR15" s="3"/>
      <c r="AS15" s="3"/>
      <c r="AT15" s="3">
        <v>-6.0000000000000001E-3</v>
      </c>
    </row>
    <row r="16" spans="1:60" x14ac:dyDescent="0.2">
      <c r="A16" s="4">
        <v>44562</v>
      </c>
      <c r="B16" s="1">
        <v>0.41200000000000003</v>
      </c>
      <c r="C16" s="1">
        <v>0.33</v>
      </c>
      <c r="D16" s="1">
        <v>0.115</v>
      </c>
      <c r="E16" s="1">
        <v>0.107</v>
      </c>
      <c r="F16" s="1">
        <v>5.0000000000000001E-3</v>
      </c>
      <c r="G16" s="6">
        <v>8.0000000000000002E-3</v>
      </c>
      <c r="I16" s="4">
        <v>44562</v>
      </c>
      <c r="J16" s="7">
        <v>64</v>
      </c>
      <c r="K16" s="7">
        <v>55</v>
      </c>
      <c r="M16" s="4">
        <v>44562</v>
      </c>
      <c r="N16" s="1">
        <v>0.51800000000000002</v>
      </c>
      <c r="O16" s="1">
        <v>-0.37</v>
      </c>
      <c r="P16" s="6">
        <f t="shared" si="1"/>
        <v>0.14800000000000002</v>
      </c>
      <c r="Q16" s="4">
        <v>44562</v>
      </c>
      <c r="R16" s="2">
        <v>0.11899999999999999</v>
      </c>
      <c r="S16" s="2">
        <v>0.02</v>
      </c>
      <c r="T16" s="2">
        <v>2.1999999999999999E-2</v>
      </c>
      <c r="U16" s="2"/>
      <c r="V16" s="2">
        <v>3.9E-2</v>
      </c>
      <c r="W16" s="2">
        <v>8.7999999999999995E-2</v>
      </c>
      <c r="X16" s="2">
        <v>9.1999999999999998E-2</v>
      </c>
      <c r="Y16" s="2"/>
      <c r="Z16" s="2">
        <v>2.1999999999999999E-2</v>
      </c>
      <c r="AA16" s="2">
        <v>6.9000000000000006E-2</v>
      </c>
      <c r="AB16" s="4">
        <v>44562</v>
      </c>
      <c r="AC16" s="1">
        <v>0.375</v>
      </c>
      <c r="AD16" s="1">
        <v>8.4000000000000005E-2</v>
      </c>
      <c r="AE16" s="1">
        <v>0.184</v>
      </c>
      <c r="AF16" s="1">
        <v>8.9999999999999993E-3</v>
      </c>
      <c r="AG16" s="1"/>
      <c r="AH16" s="4">
        <v>44562</v>
      </c>
      <c r="AI16" s="1">
        <v>0.22500000000000001</v>
      </c>
      <c r="AJ16" s="6">
        <v>2.5999999999999999E-2</v>
      </c>
      <c r="AK16" s="6"/>
      <c r="AL16" s="6">
        <v>0.05</v>
      </c>
      <c r="AM16" s="4">
        <v>44562</v>
      </c>
      <c r="AN16" s="3">
        <v>-0.187</v>
      </c>
      <c r="AO16" s="3">
        <v>0.19800000000000001</v>
      </c>
      <c r="AP16" s="3"/>
      <c r="AQ16" s="3"/>
      <c r="AR16" s="3"/>
      <c r="AS16" s="3"/>
      <c r="AT16" s="3">
        <v>-3.0000000000000001E-3</v>
      </c>
    </row>
    <row r="17" spans="1:46" x14ac:dyDescent="0.2">
      <c r="A17" s="4">
        <v>44593</v>
      </c>
      <c r="B17" s="1">
        <v>0.42299999999999999</v>
      </c>
      <c r="C17" s="1">
        <v>0.38400000000000001</v>
      </c>
      <c r="D17" s="1">
        <v>6.6000000000000003E-2</v>
      </c>
      <c r="E17" s="1">
        <v>6.4000000000000001E-2</v>
      </c>
      <c r="F17" s="1">
        <v>0.01</v>
      </c>
      <c r="G17" s="1">
        <v>1.4999999999999999E-2</v>
      </c>
      <c r="I17" s="4">
        <v>44593</v>
      </c>
      <c r="J17" s="7">
        <v>62</v>
      </c>
      <c r="K17" s="7">
        <v>57</v>
      </c>
      <c r="M17" s="4">
        <v>44593</v>
      </c>
      <c r="N17" s="1">
        <v>0.42899999999999999</v>
      </c>
      <c r="O17" s="1">
        <v>-0.42</v>
      </c>
      <c r="P17" s="6">
        <f t="shared" si="1"/>
        <v>9.000000000000008E-3</v>
      </c>
      <c r="Q17" s="4">
        <v>44593</v>
      </c>
      <c r="R17" s="2">
        <v>0.16600000000000001</v>
      </c>
      <c r="S17" s="2">
        <v>0.03</v>
      </c>
      <c r="T17" s="2">
        <v>5.0999999999999997E-2</v>
      </c>
      <c r="U17" s="2"/>
      <c r="V17" s="2">
        <v>8.7999999999999995E-2</v>
      </c>
      <c r="W17" s="2">
        <v>6.6000000000000003E-2</v>
      </c>
      <c r="X17" s="2">
        <v>5.0999999999999997E-2</v>
      </c>
      <c r="Y17" s="2"/>
      <c r="Z17" s="2">
        <v>5.3999999999999999E-2</v>
      </c>
      <c r="AA17" s="2">
        <v>4.5999999999999999E-2</v>
      </c>
      <c r="AB17" s="4">
        <v>44593</v>
      </c>
      <c r="AC17" s="1">
        <v>0.38900000000000001</v>
      </c>
      <c r="AD17" s="1">
        <v>2.4E-2</v>
      </c>
      <c r="AE17" s="1">
        <v>0.28499999999999998</v>
      </c>
      <c r="AF17" s="1">
        <v>1.8000000000000002E-2</v>
      </c>
      <c r="AG17" s="1"/>
      <c r="AH17" s="4">
        <v>44593</v>
      </c>
      <c r="AI17" s="6">
        <v>0.17399999999999999</v>
      </c>
      <c r="AJ17" s="6">
        <v>-8.5000000000000006E-2</v>
      </c>
      <c r="AK17" s="6"/>
      <c r="AL17" s="6">
        <v>0.13600000000000001</v>
      </c>
      <c r="AM17" s="4">
        <v>44593</v>
      </c>
      <c r="AN17" s="3">
        <v>-0.189</v>
      </c>
      <c r="AO17" s="2">
        <v>0.214</v>
      </c>
      <c r="AP17" s="2"/>
      <c r="AQ17" s="3"/>
      <c r="AR17" s="3"/>
      <c r="AS17" s="3"/>
      <c r="AT17" s="3">
        <v>-2.8000000000000001E-2</v>
      </c>
    </row>
    <row r="18" spans="1:46" x14ac:dyDescent="0.2">
      <c r="A18" s="4">
        <v>44621</v>
      </c>
      <c r="B18" s="1">
        <v>0.36200000000000004</v>
      </c>
      <c r="C18" s="1">
        <v>0.35299999999999998</v>
      </c>
      <c r="D18" s="1">
        <v>0.11199999999999999</v>
      </c>
      <c r="E18" s="1">
        <v>0.124</v>
      </c>
      <c r="F18" s="1">
        <v>1E-3</v>
      </c>
      <c r="G18" s="1">
        <v>1.8000000000000002E-2</v>
      </c>
      <c r="I18" s="4">
        <v>44621</v>
      </c>
      <c r="J18" s="7">
        <v>62</v>
      </c>
      <c r="K18" s="7">
        <v>58</v>
      </c>
      <c r="M18" s="4">
        <v>44621</v>
      </c>
      <c r="N18" s="1">
        <v>0.40699999999999997</v>
      </c>
      <c r="O18" s="1">
        <v>-0.45</v>
      </c>
      <c r="P18" s="6">
        <f t="shared" si="1"/>
        <v>-4.3000000000000038E-2</v>
      </c>
      <c r="Q18" s="4">
        <v>44621</v>
      </c>
      <c r="R18" s="2">
        <v>0.159</v>
      </c>
      <c r="S18" s="2">
        <v>7.4999999999999997E-2</v>
      </c>
      <c r="T18" s="2">
        <v>5.3999999999999999E-2</v>
      </c>
      <c r="U18" s="2"/>
      <c r="V18" s="2">
        <v>2.1999999999999999E-2</v>
      </c>
      <c r="W18" s="2">
        <v>6.6000000000000003E-2</v>
      </c>
      <c r="X18" s="2">
        <v>6.9000000000000006E-2</v>
      </c>
      <c r="Y18" s="2"/>
      <c r="Z18" s="2">
        <v>2.8000000000000001E-2</v>
      </c>
      <c r="AA18" s="2">
        <v>7.2999999999999995E-2</v>
      </c>
      <c r="AB18" s="4">
        <v>44621</v>
      </c>
      <c r="AC18" s="1">
        <v>0.37799999999999995</v>
      </c>
      <c r="AD18" s="1">
        <v>4.4000000000000004E-2</v>
      </c>
      <c r="AE18" s="1">
        <v>0.26600000000000001</v>
      </c>
      <c r="AF18" s="1">
        <v>5.5E-2</v>
      </c>
      <c r="AG18" s="1"/>
      <c r="AH18" s="4">
        <v>44621</v>
      </c>
      <c r="AI18" s="1">
        <v>0.17699999999999999</v>
      </c>
      <c r="AJ18" s="6">
        <v>-0.14000000000000001</v>
      </c>
      <c r="AK18" s="6"/>
      <c r="AL18" s="6">
        <v>5.2000000000000005E-2</v>
      </c>
      <c r="AM18" s="4">
        <v>44621</v>
      </c>
      <c r="AN18" s="3">
        <v>-0.27</v>
      </c>
      <c r="AO18" s="2">
        <v>0.27700000000000002</v>
      </c>
      <c r="AP18" s="2"/>
      <c r="AQ18" s="3"/>
      <c r="AR18" s="3"/>
      <c r="AS18" s="3"/>
      <c r="AT18" s="3">
        <v>-7.4999999999999997E-2</v>
      </c>
    </row>
    <row r="19" spans="1:46" x14ac:dyDescent="0.2">
      <c r="A19" s="4">
        <v>44652</v>
      </c>
      <c r="B19" s="1">
        <v>0.36799999999999999</v>
      </c>
      <c r="C19" s="1">
        <v>0.37799999999999995</v>
      </c>
      <c r="D19" s="1">
        <v>8.4000000000000005E-2</v>
      </c>
      <c r="E19" s="1">
        <v>9.4E-2</v>
      </c>
      <c r="F19" s="1">
        <v>3.6000000000000004E-2</v>
      </c>
      <c r="G19" s="1">
        <v>1.7000000000000001E-2</v>
      </c>
      <c r="I19" s="4">
        <v>44652</v>
      </c>
      <c r="J19" s="7">
        <v>58</v>
      </c>
      <c r="K19" s="7">
        <v>57</v>
      </c>
      <c r="M19" s="4">
        <v>44652</v>
      </c>
      <c r="N19" s="1">
        <v>0.41199999999999998</v>
      </c>
      <c r="O19" s="1">
        <v>-0.43</v>
      </c>
      <c r="P19" s="6">
        <f t="shared" si="1"/>
        <v>-1.8000000000000016E-2</v>
      </c>
      <c r="Q19" s="4">
        <v>44652</v>
      </c>
      <c r="R19" s="2">
        <v>0.188</v>
      </c>
      <c r="S19" s="2">
        <v>0.20300000000000001</v>
      </c>
      <c r="T19" s="2">
        <v>2.1000000000000001E-2</v>
      </c>
      <c r="U19" s="2"/>
      <c r="V19" s="2">
        <v>3.5999999999999997E-2</v>
      </c>
      <c r="W19" s="2">
        <v>5.8999999999999997E-2</v>
      </c>
      <c r="X19" s="2">
        <v>6.4000000000000001E-2</v>
      </c>
      <c r="Y19" s="2"/>
      <c r="Z19" s="2">
        <v>5.3999999999999999E-2</v>
      </c>
      <c r="AA19" s="2">
        <v>5.3999999999999999E-2</v>
      </c>
      <c r="AB19" s="4">
        <v>44652</v>
      </c>
      <c r="AC19" s="1">
        <v>0.36299999999999999</v>
      </c>
      <c r="AD19" s="1">
        <v>4.8000000000000001E-2</v>
      </c>
      <c r="AE19" s="1">
        <v>0.28599999999999998</v>
      </c>
      <c r="AF19" s="1">
        <v>2.6000000000000002E-2</v>
      </c>
      <c r="AG19" s="1"/>
      <c r="AH19" s="4">
        <v>44652</v>
      </c>
      <c r="AI19" s="1">
        <v>9.3000000000000013E-2</v>
      </c>
      <c r="AJ19" s="6">
        <v>-9.1999999999999998E-2</v>
      </c>
      <c r="AK19" s="6"/>
      <c r="AL19" s="6">
        <v>0.11599999999999999</v>
      </c>
      <c r="AM19" s="4">
        <v>44652</v>
      </c>
      <c r="AN19" s="3">
        <v>-0.17499999999999999</v>
      </c>
      <c r="AO19" s="2">
        <v>0.114</v>
      </c>
      <c r="AP19" s="2"/>
      <c r="AQ19" s="3"/>
      <c r="AR19" s="3"/>
      <c r="AS19" s="3"/>
      <c r="AT19" s="3">
        <v>-0.11</v>
      </c>
    </row>
    <row r="20" spans="1:46" x14ac:dyDescent="0.2">
      <c r="A20" s="4">
        <v>44682</v>
      </c>
      <c r="B20" s="1">
        <v>0.34200000000000003</v>
      </c>
      <c r="C20" s="1">
        <v>0.36799999999999999</v>
      </c>
      <c r="D20" s="1">
        <v>0.109</v>
      </c>
      <c r="E20" s="1">
        <v>9.6999999999999989E-2</v>
      </c>
      <c r="F20" s="1">
        <v>2.4E-2</v>
      </c>
      <c r="G20" s="1">
        <v>1.8000000000000002E-2</v>
      </c>
      <c r="I20" s="4">
        <f>A20</f>
        <v>44682</v>
      </c>
      <c r="J20" s="7">
        <v>56</v>
      </c>
      <c r="K20" s="7">
        <v>61</v>
      </c>
      <c r="M20" s="4">
        <f>I20</f>
        <v>44682</v>
      </c>
      <c r="N20" s="1">
        <v>0.33799999999999997</v>
      </c>
      <c r="O20" s="1">
        <v>-0.48</v>
      </c>
      <c r="P20" s="6">
        <f t="shared" si="1"/>
        <v>-0.14200000000000002</v>
      </c>
      <c r="Q20" s="4">
        <f>M20</f>
        <v>44682</v>
      </c>
      <c r="R20" s="2">
        <v>0.153</v>
      </c>
      <c r="S20" s="2">
        <v>0.25800000000000001</v>
      </c>
      <c r="T20" s="2">
        <v>4.0000000000000001E-3</v>
      </c>
      <c r="U20" s="2"/>
      <c r="V20" s="2">
        <v>0.03</v>
      </c>
      <c r="W20" s="2">
        <v>5.8999999999999997E-2</v>
      </c>
      <c r="X20" s="2">
        <v>5.3999999999999999E-2</v>
      </c>
      <c r="Y20" s="2"/>
      <c r="Z20" s="2">
        <v>4.7E-2</v>
      </c>
      <c r="AA20" s="2">
        <v>5.5E-2</v>
      </c>
      <c r="AB20" s="4">
        <f>Q20</f>
        <v>44682</v>
      </c>
      <c r="AC20" s="1">
        <v>0.35100000000000003</v>
      </c>
      <c r="AD20" s="1">
        <v>6.5000000000000002E-2</v>
      </c>
      <c r="AE20" s="1">
        <v>0.27899999999999997</v>
      </c>
      <c r="AF20" s="1">
        <v>2.7999999999999997E-2</v>
      </c>
      <c r="AG20" s="1"/>
      <c r="AH20" s="4">
        <f>AB20</f>
        <v>44682</v>
      </c>
      <c r="AI20" s="1">
        <v>0.04</v>
      </c>
      <c r="AJ20" s="6">
        <v>-8.6999999999999994E-2</v>
      </c>
      <c r="AK20" s="6"/>
      <c r="AL20" s="6">
        <v>2.3E-2</v>
      </c>
      <c r="AM20" s="4">
        <f>AH20</f>
        <v>44682</v>
      </c>
      <c r="AN20" s="3">
        <v>-0.254</v>
      </c>
      <c r="AO20" s="2">
        <v>0.09</v>
      </c>
      <c r="AP20" s="2"/>
      <c r="AQ20" s="3"/>
      <c r="AR20" s="3"/>
      <c r="AS20" s="3"/>
      <c r="AT20" s="3">
        <v>-0.17300000000000001</v>
      </c>
    </row>
    <row r="21" spans="1:46" x14ac:dyDescent="0.2">
      <c r="A21" s="4">
        <v>44713</v>
      </c>
      <c r="B21" s="1">
        <v>0.34200000000000003</v>
      </c>
      <c r="C21" s="1">
        <v>0.374</v>
      </c>
      <c r="D21" s="1">
        <v>9.4E-2</v>
      </c>
      <c r="E21" s="1">
        <v>8.3000000000000004E-2</v>
      </c>
      <c r="F21" s="1">
        <v>1.8000000000000002E-2</v>
      </c>
      <c r="G21" s="1">
        <v>2.3E-2</v>
      </c>
      <c r="I21" s="4">
        <v>44713</v>
      </c>
      <c r="J21" s="7">
        <v>56</v>
      </c>
      <c r="K21" s="7">
        <v>62</v>
      </c>
      <c r="M21" s="4">
        <v>44713</v>
      </c>
      <c r="N21" s="1">
        <v>0.35600000000000004</v>
      </c>
      <c r="O21" s="1">
        <v>-0.5</v>
      </c>
      <c r="P21" s="6">
        <f t="shared" si="1"/>
        <v>-0.14399999999999996</v>
      </c>
      <c r="Q21" s="4">
        <v>44713</v>
      </c>
      <c r="R21" s="2">
        <v>0.155</v>
      </c>
      <c r="S21" s="2">
        <v>0.245</v>
      </c>
      <c r="T21" s="2">
        <v>6.6000000000000003E-2</v>
      </c>
      <c r="U21" s="2"/>
      <c r="V21" s="2">
        <v>3.4000000000000002E-2</v>
      </c>
      <c r="W21" s="2">
        <v>5.8000000000000003E-2</v>
      </c>
      <c r="X21" s="2">
        <v>0.05</v>
      </c>
      <c r="Y21" s="2"/>
      <c r="Z21" s="2">
        <v>5.1999999999999998E-2</v>
      </c>
      <c r="AA21" s="2">
        <v>5.8000000000000003E-2</v>
      </c>
      <c r="AB21" s="4">
        <f>Q21</f>
        <v>44713</v>
      </c>
      <c r="AC21" s="1">
        <v>0.39700000000000002</v>
      </c>
      <c r="AD21" s="1">
        <v>5.5999999999999994E-2</v>
      </c>
      <c r="AE21" s="1">
        <v>0.28000000000000003</v>
      </c>
      <c r="AF21" s="1">
        <v>3.7999999999999999E-2</v>
      </c>
      <c r="AG21" s="1"/>
      <c r="AH21" s="4">
        <v>44713</v>
      </c>
      <c r="AI21" s="1">
        <v>9.4E-2</v>
      </c>
      <c r="AJ21" s="6">
        <v>-5.9000000000000004E-2</v>
      </c>
      <c r="AK21" s="6"/>
      <c r="AL21" s="6">
        <v>0.109</v>
      </c>
      <c r="AM21" s="4">
        <v>44713</v>
      </c>
      <c r="AN21" s="3">
        <v>-0.20799999999999999</v>
      </c>
      <c r="AO21" s="3">
        <v>0.155</v>
      </c>
      <c r="AP21" s="3"/>
      <c r="AQ21" s="3">
        <v>-0.153</v>
      </c>
      <c r="AR21" s="3"/>
      <c r="AS21" s="3"/>
      <c r="AT21" s="3">
        <v>-0.11800000000000001</v>
      </c>
    </row>
    <row r="22" spans="1:46" x14ac:dyDescent="0.2">
      <c r="A22" s="4">
        <v>44743</v>
      </c>
      <c r="B22" s="1">
        <v>0.34700000000000003</v>
      </c>
      <c r="C22" s="1">
        <v>0.37</v>
      </c>
      <c r="D22" s="1">
        <v>0.1</v>
      </c>
      <c r="E22" s="1">
        <v>8.5000000000000006E-2</v>
      </c>
      <c r="F22" s="1">
        <v>3.7000000000000005E-2</v>
      </c>
      <c r="G22" s="1">
        <v>2.7999999999999997E-2</v>
      </c>
      <c r="I22" s="4">
        <v>44743</v>
      </c>
      <c r="J22" s="7">
        <v>55</v>
      </c>
      <c r="K22" s="7">
        <v>60</v>
      </c>
      <c r="M22" s="4">
        <v>44743</v>
      </c>
      <c r="N22" s="1">
        <v>0.38299999999999995</v>
      </c>
      <c r="O22" s="1">
        <v>-0.47799999999999998</v>
      </c>
      <c r="P22" s="6">
        <f t="shared" si="1"/>
        <v>-9.5000000000000029E-2</v>
      </c>
      <c r="Q22" s="4">
        <v>44743</v>
      </c>
      <c r="R22" s="2">
        <v>0.16600000000000001</v>
      </c>
      <c r="S22" s="2">
        <v>0.22500000000000001</v>
      </c>
      <c r="T22" s="2">
        <v>4.1000000000000002E-2</v>
      </c>
      <c r="U22" s="2"/>
      <c r="V22" s="2">
        <v>3.5000000000000003E-2</v>
      </c>
      <c r="W22" s="2">
        <v>2.8000000000000001E-2</v>
      </c>
      <c r="X22" s="2">
        <v>4.5999999999999999E-2</v>
      </c>
      <c r="Y22" s="2"/>
      <c r="Z22" s="2">
        <v>4.3999999999999997E-2</v>
      </c>
      <c r="AA22" s="2">
        <v>7.1999999999999995E-2</v>
      </c>
      <c r="AB22" s="4">
        <v>44743</v>
      </c>
      <c r="AC22" s="1">
        <v>0.41199999999999998</v>
      </c>
      <c r="AD22" s="1">
        <v>6.0999999999999999E-2</v>
      </c>
      <c r="AE22" s="1">
        <v>0.22399999999999998</v>
      </c>
      <c r="AF22" s="1">
        <v>2.3E-2</v>
      </c>
      <c r="AG22" s="1"/>
      <c r="AH22" s="4">
        <v>44743</v>
      </c>
      <c r="AI22" s="6">
        <v>0.13800000000000001</v>
      </c>
      <c r="AJ22" s="6">
        <v>-7.2999999999999995E-2</v>
      </c>
      <c r="AK22" s="6"/>
      <c r="AL22" s="6">
        <v>1.2E-2</v>
      </c>
      <c r="AM22" s="4">
        <v>44743</v>
      </c>
      <c r="AN22" s="3">
        <v>-0.121</v>
      </c>
      <c r="AO22" s="3">
        <v>0.16800000000000001</v>
      </c>
      <c r="AP22" s="3"/>
      <c r="AQ22" s="3">
        <v>-9.4E-2</v>
      </c>
      <c r="AR22" s="3"/>
      <c r="AS22" s="3"/>
      <c r="AT22" s="3">
        <v>-6.2E-2</v>
      </c>
    </row>
    <row r="23" spans="1:46" x14ac:dyDescent="0.2">
      <c r="A23" s="4">
        <v>44774</v>
      </c>
      <c r="B23" s="1">
        <v>0.35200000000000004</v>
      </c>
      <c r="C23" s="1">
        <v>0.34</v>
      </c>
      <c r="D23" s="1">
        <v>0.105</v>
      </c>
      <c r="E23" s="1">
        <v>9.5000000000000001E-2</v>
      </c>
      <c r="F23" s="1">
        <v>3.5000000000000003E-2</v>
      </c>
      <c r="G23" s="1">
        <v>2.6000000000000002E-2</v>
      </c>
      <c r="I23" s="4">
        <v>44774</v>
      </c>
      <c r="J23" s="7">
        <v>57</v>
      </c>
      <c r="K23" s="7">
        <v>58</v>
      </c>
      <c r="M23" s="4">
        <v>44774</v>
      </c>
      <c r="N23" s="1">
        <v>0.34799999999999998</v>
      </c>
      <c r="O23" s="1">
        <v>-0.47799999999999998</v>
      </c>
      <c r="P23" s="6">
        <f t="shared" si="1"/>
        <v>-0.13</v>
      </c>
      <c r="Q23" s="4">
        <v>44774</v>
      </c>
      <c r="R23" s="2">
        <v>0.14599999999999999</v>
      </c>
      <c r="S23" s="2">
        <v>0.22700000000000001</v>
      </c>
      <c r="T23" s="2">
        <v>4.4999999999999998E-2</v>
      </c>
      <c r="U23" s="2"/>
      <c r="V23" s="2">
        <v>3.5000000000000003E-2</v>
      </c>
      <c r="W23" s="2">
        <v>4.1000000000000002E-2</v>
      </c>
      <c r="X23" s="2">
        <v>2.1999999999999999E-2</v>
      </c>
      <c r="Y23" s="2"/>
      <c r="Z23" s="2">
        <v>5.0999999999999997E-2</v>
      </c>
      <c r="AA23" s="2">
        <v>6.3E-2</v>
      </c>
      <c r="AB23" s="4">
        <v>44774</v>
      </c>
      <c r="AC23" s="1">
        <v>0.39500000000000002</v>
      </c>
      <c r="AD23" s="1">
        <v>7.6999999999999999E-2</v>
      </c>
      <c r="AE23" s="1">
        <v>0.19500000000000001</v>
      </c>
      <c r="AF23" s="1">
        <v>4.2000000000000003E-2</v>
      </c>
      <c r="AG23" s="1"/>
      <c r="AH23" s="4">
        <v>44774</v>
      </c>
      <c r="AI23" s="6">
        <v>0.09</v>
      </c>
      <c r="AJ23" s="6">
        <v>-7.0000000000000007E-2</v>
      </c>
      <c r="AK23" s="6"/>
      <c r="AL23" s="6">
        <v>-0.01</v>
      </c>
      <c r="AM23" s="4">
        <v>44774</v>
      </c>
      <c r="AN23" s="3">
        <v>-0.17399999999999999</v>
      </c>
      <c r="AO23" s="2">
        <v>0.14599999999999999</v>
      </c>
      <c r="AP23" s="2"/>
      <c r="AQ23" s="3">
        <v>-0.10199999999999999</v>
      </c>
      <c r="AR23" s="3"/>
      <c r="AS23" s="3"/>
      <c r="AT23" s="3">
        <v>-0.13</v>
      </c>
    </row>
    <row r="24" spans="1:46" x14ac:dyDescent="0.2">
      <c r="A24" s="4">
        <v>44805</v>
      </c>
      <c r="B24" s="1">
        <v>0.33399999999999996</v>
      </c>
      <c r="C24" s="1">
        <v>0.37</v>
      </c>
      <c r="D24" s="1">
        <v>0.124</v>
      </c>
      <c r="E24" s="1">
        <v>9.9000000000000005E-2</v>
      </c>
      <c r="F24" s="1">
        <v>1.4999999999999999E-2</v>
      </c>
      <c r="G24" s="1">
        <v>1.6E-2</v>
      </c>
      <c r="I24" s="4">
        <v>44805</v>
      </c>
      <c r="J24" s="7">
        <v>55</v>
      </c>
      <c r="K24" s="7">
        <v>63</v>
      </c>
      <c r="M24" s="4">
        <v>44805</v>
      </c>
      <c r="N24" s="1">
        <v>0.318</v>
      </c>
      <c r="O24" s="1">
        <v>-0.54300000000000004</v>
      </c>
      <c r="P24" s="6">
        <f t="shared" si="1"/>
        <v>-0.22500000000000003</v>
      </c>
      <c r="Q24" s="4">
        <v>44805</v>
      </c>
      <c r="R24" s="2">
        <v>0.15</v>
      </c>
      <c r="S24" s="2">
        <v>0.219</v>
      </c>
      <c r="T24" s="2">
        <v>5.8000000000000003E-2</v>
      </c>
      <c r="U24" s="2"/>
      <c r="V24" s="2">
        <v>5.3999999999999999E-2</v>
      </c>
      <c r="W24" s="2">
        <v>5.0999999999999997E-2</v>
      </c>
      <c r="X24" s="2">
        <v>3.7999999999999999E-2</v>
      </c>
      <c r="Y24" s="2"/>
      <c r="Z24" s="2">
        <v>4.1000000000000002E-2</v>
      </c>
      <c r="AA24" s="2">
        <v>6.7000000000000004E-2</v>
      </c>
      <c r="AB24" s="4">
        <v>44805</v>
      </c>
      <c r="AC24" s="1">
        <v>0.36499999999999999</v>
      </c>
      <c r="AD24" s="1">
        <v>6.6000000000000003E-2</v>
      </c>
      <c r="AE24" s="1">
        <v>0.25900000000000001</v>
      </c>
      <c r="AF24" s="1">
        <v>2.6000000000000002E-2</v>
      </c>
      <c r="AG24" s="1">
        <v>3.2000000000000001E-2</v>
      </c>
      <c r="AH24" s="4">
        <v>44805</v>
      </c>
      <c r="AI24" s="6">
        <v>0.04</v>
      </c>
      <c r="AJ24" s="6">
        <v>-0.06</v>
      </c>
      <c r="AK24" s="6"/>
      <c r="AL24" s="6">
        <v>0</v>
      </c>
      <c r="AM24" s="4">
        <v>44805</v>
      </c>
      <c r="AN24" s="3">
        <v>-0.28000000000000003</v>
      </c>
      <c r="AO24" s="2">
        <v>0.08</v>
      </c>
      <c r="AP24" s="2"/>
      <c r="AQ24" s="3">
        <v>-0.19</v>
      </c>
      <c r="AR24" s="3"/>
      <c r="AS24" s="3"/>
      <c r="AT24" s="3">
        <v>-7.0000000000000007E-2</v>
      </c>
    </row>
    <row r="25" spans="1:46" x14ac:dyDescent="0.2">
      <c r="A25" s="4">
        <v>44835</v>
      </c>
      <c r="B25" s="1">
        <v>0.34399999999999997</v>
      </c>
      <c r="C25" s="1">
        <v>0.39200000000000002</v>
      </c>
      <c r="D25" s="1">
        <v>9.4E-2</v>
      </c>
      <c r="E25" s="1">
        <v>7.2000000000000008E-2</v>
      </c>
      <c r="F25" s="1">
        <v>2.1000000000000001E-2</v>
      </c>
      <c r="G25" s="1">
        <v>2.1000000000000001E-2</v>
      </c>
      <c r="I25" s="4">
        <v>44835</v>
      </c>
      <c r="J25" s="7">
        <v>54</v>
      </c>
      <c r="K25" s="7">
        <v>63</v>
      </c>
      <c r="M25" s="4">
        <v>44835</v>
      </c>
      <c r="N25" s="1">
        <v>0.28699999999999998</v>
      </c>
      <c r="O25" s="1">
        <v>-0.56299999999999994</v>
      </c>
      <c r="P25" s="6">
        <f t="shared" si="1"/>
        <v>-0.27599999999999997</v>
      </c>
      <c r="Q25" s="4">
        <v>44835</v>
      </c>
      <c r="R25" s="2">
        <v>0.13300000000000001</v>
      </c>
      <c r="S25" s="2">
        <v>0.24099999999999999</v>
      </c>
      <c r="T25" s="2">
        <v>6.0999999999999999E-2</v>
      </c>
      <c r="U25" s="2"/>
      <c r="V25" s="2">
        <v>0.03</v>
      </c>
      <c r="W25" s="2">
        <v>5.1999999999999998E-2</v>
      </c>
      <c r="X25" s="2">
        <v>5.5E-2</v>
      </c>
      <c r="Y25" s="2"/>
      <c r="Z25" s="2">
        <v>4.8000000000000001E-2</v>
      </c>
      <c r="AA25" s="2">
        <v>5.5E-2</v>
      </c>
      <c r="AB25" s="4">
        <v>44835</v>
      </c>
      <c r="AC25" s="1">
        <v>0.32899999999999996</v>
      </c>
      <c r="AD25" s="1">
        <v>7.2999999999999995E-2</v>
      </c>
      <c r="AE25" s="1">
        <v>0.22500000000000001</v>
      </c>
      <c r="AF25" s="1">
        <v>3.6000000000000004E-2</v>
      </c>
      <c r="AG25" s="1">
        <v>4.8000000000000001E-2</v>
      </c>
      <c r="AH25" s="4">
        <v>44835</v>
      </c>
      <c r="AI25" s="6">
        <v>6.7000000000000004E-2</v>
      </c>
      <c r="AJ25" s="6">
        <v>-6.3E-2</v>
      </c>
      <c r="AL25" s="6">
        <v>8.9999999999999993E-3</v>
      </c>
      <c r="AM25" s="4">
        <v>44835</v>
      </c>
      <c r="AN25" s="3">
        <v>-0.22399999999999998</v>
      </c>
      <c r="AO25" s="2">
        <v>8.5000000000000006E-2</v>
      </c>
      <c r="AP25" s="2"/>
      <c r="AQ25" s="3">
        <v>-0.14899999999999999</v>
      </c>
      <c r="AR25" s="3"/>
      <c r="AS25" s="3"/>
      <c r="AT25" s="3">
        <v>-0.18600000000000003</v>
      </c>
    </row>
    <row r="26" spans="1:46" x14ac:dyDescent="0.2">
      <c r="A26" s="4">
        <v>44866</v>
      </c>
      <c r="B26" s="1">
        <v>0.35299999999999998</v>
      </c>
      <c r="C26" s="1">
        <v>0.376</v>
      </c>
      <c r="D26" s="1">
        <v>9.9000000000000005E-2</v>
      </c>
      <c r="E26" s="1">
        <v>7.8E-2</v>
      </c>
      <c r="F26" s="1">
        <v>1.6E-2</v>
      </c>
      <c r="G26" s="1">
        <v>3.7999999999999999E-2</v>
      </c>
      <c r="I26" s="4">
        <v>44866</v>
      </c>
      <c r="J26" s="7">
        <v>56</v>
      </c>
      <c r="K26" s="7">
        <v>62</v>
      </c>
      <c r="M26" s="4">
        <v>44866</v>
      </c>
      <c r="N26" s="1">
        <v>0.35399999999999998</v>
      </c>
      <c r="O26" s="1">
        <v>-0.52</v>
      </c>
      <c r="P26" s="6">
        <f t="shared" si="1"/>
        <v>-0.16600000000000004</v>
      </c>
      <c r="Q26" s="4">
        <v>44866</v>
      </c>
      <c r="R26" s="2">
        <v>9.8000000000000004E-2</v>
      </c>
      <c r="S26" s="2">
        <v>0.23400000000000001</v>
      </c>
      <c r="T26" s="2">
        <v>4.8000000000000001E-2</v>
      </c>
      <c r="U26" s="2"/>
      <c r="V26" s="2">
        <v>2.3E-2</v>
      </c>
      <c r="W26" s="2">
        <v>6.2E-2</v>
      </c>
      <c r="X26" s="2">
        <v>0.111</v>
      </c>
      <c r="Y26" s="2"/>
      <c r="Z26" s="2">
        <v>6.0999999999999999E-2</v>
      </c>
      <c r="AA26" s="2">
        <v>8.8999999999999996E-2</v>
      </c>
      <c r="AB26" s="4">
        <v>44866</v>
      </c>
      <c r="AC26" s="1">
        <v>0.35</v>
      </c>
      <c r="AD26" s="1">
        <v>6.0999999999999999E-2</v>
      </c>
      <c r="AE26" s="1">
        <v>0.21100000000000002</v>
      </c>
      <c r="AF26" s="1">
        <v>2.5000000000000001E-2</v>
      </c>
      <c r="AG26" s="1">
        <v>5.7999999999999996E-2</v>
      </c>
      <c r="AH26" s="4">
        <v>44866</v>
      </c>
      <c r="AI26" s="6">
        <v>0.08</v>
      </c>
      <c r="AJ26" s="6">
        <v>-0.11</v>
      </c>
      <c r="AL26" s="6">
        <v>-0.03</v>
      </c>
      <c r="AM26" s="4">
        <v>44866</v>
      </c>
      <c r="AN26" s="3">
        <v>-0.17499999999999999</v>
      </c>
      <c r="AO26" s="2">
        <v>0.13</v>
      </c>
      <c r="AP26" s="2"/>
      <c r="AQ26" s="3">
        <v>-0.13400000000000001</v>
      </c>
      <c r="AR26" s="3"/>
      <c r="AS26" s="3"/>
      <c r="AT26" s="3">
        <v>-0.14699999999999999</v>
      </c>
    </row>
    <row r="27" spans="1:46" x14ac:dyDescent="0.2">
      <c r="A27" s="4">
        <v>44896</v>
      </c>
      <c r="B27" s="1">
        <v>0.33100000000000002</v>
      </c>
      <c r="C27" s="1">
        <v>0.39399999999999996</v>
      </c>
      <c r="D27" s="1">
        <v>0.10400000000000001</v>
      </c>
      <c r="E27" s="1">
        <v>8.1000000000000003E-2</v>
      </c>
      <c r="F27" s="1">
        <v>3.5000000000000003E-2</v>
      </c>
      <c r="G27" s="1">
        <v>2.8999999999999998E-2</v>
      </c>
      <c r="I27" s="4">
        <v>44896</v>
      </c>
      <c r="J27" s="7">
        <v>52</v>
      </c>
      <c r="K27" s="7">
        <v>64</v>
      </c>
      <c r="M27" s="4">
        <v>44896</v>
      </c>
      <c r="N27" s="1">
        <v>0.30599999999999999</v>
      </c>
      <c r="O27" s="1">
        <v>-0.54400000000000004</v>
      </c>
      <c r="P27" s="6">
        <f t="shared" si="1"/>
        <v>-0.23800000000000004</v>
      </c>
      <c r="Q27" s="4">
        <v>44896</v>
      </c>
      <c r="R27" s="2">
        <v>0.14799999999999999</v>
      </c>
      <c r="S27" s="2">
        <v>0.22</v>
      </c>
      <c r="T27" s="2">
        <v>6.0999999999999999E-2</v>
      </c>
      <c r="U27" s="2"/>
      <c r="V27" s="2">
        <v>3.5000000000000003E-2</v>
      </c>
      <c r="W27" s="2">
        <v>3.9E-2</v>
      </c>
      <c r="X27" s="2">
        <v>3.4000000000000002E-2</v>
      </c>
      <c r="Y27" s="2"/>
      <c r="Z27" s="2">
        <v>0.05</v>
      </c>
      <c r="AA27" s="2">
        <v>7.1999999999999995E-2</v>
      </c>
      <c r="AB27" s="4">
        <v>44896</v>
      </c>
      <c r="AC27" s="1">
        <v>0.35299999999999998</v>
      </c>
      <c r="AD27" s="1">
        <v>7.0999999999999994E-2</v>
      </c>
      <c r="AE27" s="1">
        <v>0.26300000000000001</v>
      </c>
      <c r="AF27" s="1">
        <v>3.4000000000000002E-2</v>
      </c>
      <c r="AG27" s="1">
        <v>3.1E-2</v>
      </c>
      <c r="AH27" s="4">
        <v>44896</v>
      </c>
      <c r="AI27" s="6">
        <v>0.03</v>
      </c>
      <c r="AJ27" s="6">
        <v>-0.01</v>
      </c>
      <c r="AL27" s="6">
        <v>0.02</v>
      </c>
      <c r="AM27" s="4">
        <v>44896</v>
      </c>
      <c r="AN27" s="3">
        <v>-0.16899999999999998</v>
      </c>
      <c r="AO27" s="2">
        <v>9.1999999999999998E-2</v>
      </c>
      <c r="AP27" s="2"/>
      <c r="AQ27" s="3">
        <v>-0.151</v>
      </c>
      <c r="AR27" s="3"/>
      <c r="AS27" s="3"/>
      <c r="AT27" s="3">
        <v>-0.13800000000000001</v>
      </c>
    </row>
    <row r="28" spans="1:46" x14ac:dyDescent="0.2">
      <c r="A28" s="4">
        <v>44927</v>
      </c>
      <c r="B28" s="1">
        <v>0.317</v>
      </c>
      <c r="C28" s="1">
        <v>0.37200000000000005</v>
      </c>
      <c r="D28" s="1">
        <v>0.10800000000000001</v>
      </c>
      <c r="E28" s="1">
        <v>0.106</v>
      </c>
      <c r="F28" s="1">
        <v>1.3999999999999999E-2</v>
      </c>
      <c r="G28" s="1">
        <v>2.1000000000000001E-2</v>
      </c>
      <c r="I28" s="4">
        <v>44927</v>
      </c>
      <c r="J28" s="7">
        <v>55</v>
      </c>
      <c r="K28" s="7">
        <v>63</v>
      </c>
      <c r="M28" s="4">
        <v>44927</v>
      </c>
      <c r="N28" s="1">
        <v>0.32500000000000001</v>
      </c>
      <c r="O28" s="1">
        <v>-0.52500000000000002</v>
      </c>
      <c r="P28" s="6">
        <f t="shared" si="1"/>
        <v>-0.2</v>
      </c>
      <c r="Q28" s="4">
        <v>44927</v>
      </c>
      <c r="R28" s="2">
        <v>0.188</v>
      </c>
      <c r="S28" s="2">
        <v>0.223</v>
      </c>
      <c r="T28" s="2">
        <v>4.9000000000000002E-2</v>
      </c>
      <c r="U28" s="2"/>
      <c r="V28" s="2">
        <v>2.3E-2</v>
      </c>
      <c r="W28" s="2">
        <v>6.6000000000000003E-2</v>
      </c>
      <c r="X28" s="2">
        <v>4.4999999999999998E-2</v>
      </c>
      <c r="Y28" s="2"/>
      <c r="Z28" s="2">
        <v>5.3999999999999999E-2</v>
      </c>
      <c r="AA28" s="2">
        <v>6.9000000000000006E-2</v>
      </c>
      <c r="AB28" s="4">
        <v>44927</v>
      </c>
      <c r="AC28" s="1">
        <v>0.33600000000000002</v>
      </c>
      <c r="AD28" s="1">
        <v>7.0000000000000007E-2</v>
      </c>
      <c r="AE28" s="1">
        <v>0.25</v>
      </c>
      <c r="AF28" s="1">
        <v>2.7999999999999997E-2</v>
      </c>
      <c r="AG28" s="1">
        <v>3.4000000000000002E-2</v>
      </c>
      <c r="AH28" s="4">
        <v>44927</v>
      </c>
      <c r="AI28" s="6">
        <v>-0.01</v>
      </c>
      <c r="AJ28" s="6">
        <v>-0.04</v>
      </c>
      <c r="AK28" s="6"/>
      <c r="AL28" s="6">
        <v>-0.01</v>
      </c>
      <c r="AM28" s="4">
        <v>44927</v>
      </c>
      <c r="AN28" s="3">
        <v>-0.22800000000000001</v>
      </c>
      <c r="AO28" s="2">
        <v>8.1000000000000003E-2</v>
      </c>
      <c r="AP28" s="2"/>
      <c r="AQ28" s="3">
        <v>-0.25900000000000001</v>
      </c>
      <c r="AR28" s="3"/>
      <c r="AS28" s="3"/>
      <c r="AT28" s="3">
        <v>-0.17300000000000001</v>
      </c>
    </row>
    <row r="29" spans="1:46" x14ac:dyDescent="0.2">
      <c r="A29" s="4">
        <v>44958</v>
      </c>
      <c r="B29" s="1">
        <v>0.34399999999999997</v>
      </c>
      <c r="C29" s="1">
        <v>0.34399999999999997</v>
      </c>
      <c r="D29" s="1">
        <v>0.11699999999999999</v>
      </c>
      <c r="E29" s="1">
        <v>7.8E-2</v>
      </c>
      <c r="F29" s="1">
        <v>2.1000000000000001E-2</v>
      </c>
      <c r="G29" s="1">
        <v>2.8999999999999998E-2</v>
      </c>
      <c r="I29" s="4">
        <v>44958</v>
      </c>
      <c r="J29" s="7">
        <v>56</v>
      </c>
      <c r="K29" s="7">
        <v>61</v>
      </c>
      <c r="M29" s="4">
        <v>44958</v>
      </c>
      <c r="N29" s="1">
        <v>0.33600000000000002</v>
      </c>
      <c r="O29" s="1">
        <v>-0.51</v>
      </c>
      <c r="P29" s="6">
        <f t="shared" si="1"/>
        <v>-0.17399999999999999</v>
      </c>
      <c r="Q29" s="4">
        <v>44958</v>
      </c>
      <c r="R29" s="2">
        <v>0.13100000000000001</v>
      </c>
      <c r="S29" s="2">
        <v>0.34600000000000003</v>
      </c>
      <c r="T29" s="2">
        <v>0.05</v>
      </c>
      <c r="U29" s="2"/>
      <c r="V29" s="2">
        <v>2.2000000000000002E-2</v>
      </c>
      <c r="W29" s="2">
        <v>0.05</v>
      </c>
      <c r="X29" s="2">
        <v>3.6000000000000004E-2</v>
      </c>
      <c r="Y29" s="2"/>
      <c r="Z29" s="2">
        <v>3.3000000000000002E-2</v>
      </c>
      <c r="AA29" s="2">
        <v>3.3000000000000002E-2</v>
      </c>
      <c r="AB29" s="4">
        <v>44958</v>
      </c>
      <c r="AC29" s="1">
        <v>0.29699999999999999</v>
      </c>
      <c r="AD29" s="1">
        <v>8.3000000000000004E-2</v>
      </c>
      <c r="AE29" s="1">
        <v>0.26</v>
      </c>
      <c r="AF29" s="1">
        <v>3.5000000000000003E-2</v>
      </c>
      <c r="AG29" s="1">
        <v>1.9E-2</v>
      </c>
      <c r="AH29" s="4">
        <v>44958</v>
      </c>
      <c r="AI29" s="6">
        <v>0.27</v>
      </c>
      <c r="AJ29" s="6">
        <v>-0.11</v>
      </c>
      <c r="AL29" s="6">
        <v>-0.05</v>
      </c>
      <c r="AM29" s="4">
        <v>44958</v>
      </c>
      <c r="AN29" s="3">
        <v>-0.20100000000000001</v>
      </c>
      <c r="AO29" s="2">
        <v>0.11599999999999999</v>
      </c>
      <c r="AP29" s="2"/>
      <c r="AQ29" s="3">
        <v>-0.16300000000000001</v>
      </c>
      <c r="AR29" s="3"/>
      <c r="AS29" s="3"/>
      <c r="AT29" s="3">
        <v>-0.155</v>
      </c>
    </row>
    <row r="30" spans="1:46" x14ac:dyDescent="0.2">
      <c r="A30" s="4">
        <v>44986</v>
      </c>
      <c r="B30" s="1">
        <v>0.35499999999999998</v>
      </c>
      <c r="C30" s="1">
        <v>0.34799999999999998</v>
      </c>
      <c r="D30" s="1">
        <v>9.3000000000000013E-2</v>
      </c>
      <c r="E30" s="1">
        <v>5.7000000000000002E-2</v>
      </c>
      <c r="F30" s="1">
        <v>1.3999999999999999E-2</v>
      </c>
      <c r="G30" s="1">
        <v>4.2000000000000003E-2</v>
      </c>
      <c r="I30" s="4">
        <v>44986</v>
      </c>
      <c r="J30" s="7">
        <v>57</v>
      </c>
      <c r="K30" s="7">
        <v>61</v>
      </c>
      <c r="M30" s="4">
        <v>44986</v>
      </c>
      <c r="N30" s="1">
        <v>0.30599999999999999</v>
      </c>
      <c r="O30" s="1">
        <v>-0.51600000000000001</v>
      </c>
      <c r="P30" s="6">
        <f t="shared" si="1"/>
        <v>-0.21000000000000002</v>
      </c>
      <c r="Q30" s="4">
        <v>44986</v>
      </c>
      <c r="R30" s="2">
        <v>9.6000000000000002E-2</v>
      </c>
      <c r="S30" s="2">
        <v>0.29100000000000004</v>
      </c>
      <c r="T30" s="2">
        <v>5.5999999999999994E-2</v>
      </c>
      <c r="U30" s="2"/>
      <c r="V30" s="2">
        <v>3.4000000000000002E-2</v>
      </c>
      <c r="W30" s="2">
        <v>6.7000000000000004E-2</v>
      </c>
      <c r="X30" s="2">
        <v>2.7999999999999997E-2</v>
      </c>
      <c r="Y30" s="2"/>
      <c r="Z30" s="2">
        <v>3.6000000000000004E-2</v>
      </c>
      <c r="AA30" s="2">
        <v>3.1E-2</v>
      </c>
      <c r="AB30" s="4">
        <v>44986</v>
      </c>
      <c r="AC30" s="1">
        <v>0.30399999999999999</v>
      </c>
      <c r="AD30" s="1">
        <v>8.199999999999999E-2</v>
      </c>
      <c r="AE30" s="1">
        <v>0.20899999999999999</v>
      </c>
      <c r="AF30" s="1">
        <v>4.2999999999999997E-2</v>
      </c>
      <c r="AG30" s="1">
        <v>3.1E-2</v>
      </c>
      <c r="AH30" s="4">
        <v>44986</v>
      </c>
      <c r="AI30" s="6">
        <v>0.33</v>
      </c>
      <c r="AJ30" s="6">
        <v>0.01</v>
      </c>
      <c r="AL30" s="6">
        <v>-0.02</v>
      </c>
      <c r="AM30" s="4">
        <v>44986</v>
      </c>
      <c r="AN30" s="3">
        <v>-0.13800000000000001</v>
      </c>
      <c r="AO30" s="2">
        <v>0.158</v>
      </c>
      <c r="AP30" s="2"/>
      <c r="AQ30" s="3">
        <v>-0.122</v>
      </c>
      <c r="AR30" s="3"/>
      <c r="AS30" s="3"/>
      <c r="AT30" s="3">
        <v>-8.5000000000000006E-2</v>
      </c>
    </row>
    <row r="31" spans="1:46" x14ac:dyDescent="0.2">
      <c r="A31" s="4">
        <v>45017</v>
      </c>
      <c r="B31" s="1">
        <v>0.36899999999999999</v>
      </c>
      <c r="C31" s="1">
        <v>0.36499999999999999</v>
      </c>
      <c r="D31" s="1">
        <v>9.5000000000000001E-2</v>
      </c>
      <c r="E31" s="1">
        <v>6.7000000000000004E-2</v>
      </c>
      <c r="F31" s="1">
        <v>2.8999999999999998E-2</v>
      </c>
      <c r="G31" s="1">
        <v>2.6000000000000002E-2</v>
      </c>
      <c r="I31" s="4">
        <v>45017</v>
      </c>
      <c r="J31" s="7">
        <v>57</v>
      </c>
      <c r="K31" s="7">
        <v>59</v>
      </c>
      <c r="M31" s="4">
        <v>45017</v>
      </c>
      <c r="N31" s="1">
        <v>0.30599999999999999</v>
      </c>
      <c r="O31" s="1">
        <v>-0.53799999999999992</v>
      </c>
      <c r="P31" s="6">
        <f t="shared" si="1"/>
        <v>-0.23199999999999993</v>
      </c>
      <c r="Q31" s="4">
        <v>45017</v>
      </c>
      <c r="R31" s="2">
        <v>0.13300000000000001</v>
      </c>
      <c r="S31" s="2">
        <v>0.255</v>
      </c>
      <c r="T31" s="2">
        <v>3.2000000000000001E-2</v>
      </c>
      <c r="U31" s="2"/>
      <c r="V31" s="2">
        <v>3.7999999999999999E-2</v>
      </c>
      <c r="W31" s="2">
        <v>7.0000000000000007E-2</v>
      </c>
      <c r="X31" s="2">
        <v>3.7999999999999999E-2</v>
      </c>
      <c r="Y31" s="2"/>
      <c r="Z31" s="2">
        <v>6.3E-2</v>
      </c>
      <c r="AA31" s="2">
        <v>0.1</v>
      </c>
      <c r="AB31" s="4">
        <v>45017</v>
      </c>
      <c r="AC31" s="1">
        <v>0.25900000000000001</v>
      </c>
      <c r="AD31" s="1">
        <v>8.6999999999999994E-2</v>
      </c>
      <c r="AE31" s="1">
        <v>0.19</v>
      </c>
      <c r="AF31" s="1">
        <v>3.2000000000000001E-2</v>
      </c>
      <c r="AG31" s="1">
        <v>4.5999999999999999E-2</v>
      </c>
      <c r="AH31" s="4">
        <v>45017</v>
      </c>
      <c r="AI31" s="6">
        <v>0.28000000000000003</v>
      </c>
      <c r="AJ31" s="6">
        <v>-0.06</v>
      </c>
      <c r="AL31" s="6">
        <v>-0.06</v>
      </c>
      <c r="AM31" s="4">
        <v>45017</v>
      </c>
      <c r="AN31" s="3">
        <v>-0.16899999999999998</v>
      </c>
      <c r="AO31" s="2">
        <v>9.1999999999999998E-2</v>
      </c>
      <c r="AP31" s="2"/>
      <c r="AQ31" s="3">
        <v>-0.114</v>
      </c>
      <c r="AR31" s="3"/>
      <c r="AS31" s="3"/>
      <c r="AT31" s="3">
        <v>-0.11599999999999999</v>
      </c>
    </row>
    <row r="32" spans="1:46" x14ac:dyDescent="0.2">
      <c r="A32" s="4">
        <v>45047</v>
      </c>
      <c r="B32" s="1">
        <v>0.33799999999999997</v>
      </c>
      <c r="C32" s="1">
        <v>0.35600000000000004</v>
      </c>
      <c r="D32" s="1">
        <v>0.127</v>
      </c>
      <c r="E32" s="1">
        <v>7.0000000000000007E-2</v>
      </c>
      <c r="F32" s="1">
        <v>3.7000000000000005E-2</v>
      </c>
      <c r="G32" s="1">
        <v>2.6000000000000002E-2</v>
      </c>
      <c r="I32" s="4">
        <v>45047</v>
      </c>
      <c r="J32" s="7">
        <v>53</v>
      </c>
      <c r="K32" s="7">
        <v>62</v>
      </c>
      <c r="M32" s="4">
        <v>45047</v>
      </c>
      <c r="N32" s="1">
        <v>0.27800000000000002</v>
      </c>
      <c r="O32" s="1">
        <v>-0.56399999999999995</v>
      </c>
      <c r="P32" s="6">
        <f t="shared" si="1"/>
        <v>-0.28599999999999992</v>
      </c>
      <c r="Q32" s="4">
        <v>45047</v>
      </c>
      <c r="R32" s="2">
        <v>0.14800000000000002</v>
      </c>
      <c r="S32" s="2">
        <v>0.26500000000000001</v>
      </c>
      <c r="T32" s="2">
        <v>0.03</v>
      </c>
      <c r="U32" s="2"/>
      <c r="V32" s="2">
        <v>2.1000000000000001E-2</v>
      </c>
      <c r="W32" s="2">
        <v>4.7E-2</v>
      </c>
      <c r="X32" s="2">
        <v>0.03</v>
      </c>
      <c r="Y32" s="2">
        <v>0.03</v>
      </c>
      <c r="Z32" s="2">
        <v>0.02</v>
      </c>
      <c r="AA32" s="2">
        <v>8.199999999999999E-2</v>
      </c>
      <c r="AB32" s="4">
        <v>45047</v>
      </c>
      <c r="AC32" s="1">
        <v>0.26300000000000001</v>
      </c>
      <c r="AD32" s="1">
        <v>6.4000000000000001E-2</v>
      </c>
      <c r="AE32" s="1">
        <v>0.19500000000000001</v>
      </c>
      <c r="AF32" s="1">
        <v>3.4000000000000002E-2</v>
      </c>
      <c r="AG32" s="1">
        <v>4.2000000000000003E-2</v>
      </c>
      <c r="AH32" s="4">
        <v>45047</v>
      </c>
      <c r="AI32" s="6">
        <v>0.21899999999999997</v>
      </c>
      <c r="AJ32" s="6">
        <v>-0.111</v>
      </c>
      <c r="AL32" s="6">
        <v>-6.9000000000000006E-2</v>
      </c>
      <c r="AM32" s="4">
        <v>45047</v>
      </c>
      <c r="AN32" s="3">
        <v>-0.221</v>
      </c>
      <c r="AO32" s="2">
        <v>0.06</v>
      </c>
      <c r="AP32" s="2"/>
      <c r="AQ32" s="3">
        <v>-0.154</v>
      </c>
      <c r="AR32" s="3"/>
      <c r="AS32" s="3"/>
      <c r="AT32" s="3">
        <v>-0.126</v>
      </c>
    </row>
    <row r="33" spans="1:60" x14ac:dyDescent="0.2">
      <c r="A33" s="4">
        <v>45078</v>
      </c>
      <c r="B33" s="1">
        <v>0.32899999999999996</v>
      </c>
      <c r="C33" s="1">
        <v>0.35700000000000004</v>
      </c>
      <c r="D33" s="1">
        <v>0.127</v>
      </c>
      <c r="E33" s="1">
        <v>9.6999999999999989E-2</v>
      </c>
      <c r="F33" s="1">
        <v>3.5000000000000003E-2</v>
      </c>
      <c r="G33" s="1">
        <v>1.6E-2</v>
      </c>
      <c r="I33" s="4">
        <v>45078</v>
      </c>
      <c r="J33" s="7">
        <v>58</v>
      </c>
      <c r="K33" s="7">
        <v>62</v>
      </c>
      <c r="M33" s="4">
        <v>45078</v>
      </c>
      <c r="N33" s="1">
        <v>0.248</v>
      </c>
      <c r="O33" s="1">
        <v>-0.57399999999999995</v>
      </c>
      <c r="P33" s="6">
        <f t="shared" si="1"/>
        <v>-0.32599999999999996</v>
      </c>
      <c r="Q33" s="4">
        <v>45078</v>
      </c>
      <c r="R33" s="2">
        <v>9.0999999999999998E-2</v>
      </c>
      <c r="S33" s="2">
        <v>0.32600000000000001</v>
      </c>
      <c r="T33" s="2">
        <v>5.0999999999999997E-2</v>
      </c>
      <c r="U33" s="2"/>
      <c r="V33" s="2">
        <v>3.1E-2</v>
      </c>
      <c r="W33" s="2">
        <v>7.4999999999999997E-2</v>
      </c>
      <c r="X33" s="2">
        <v>2.7000000000000003E-2</v>
      </c>
      <c r="Y33" s="2">
        <v>0.04</v>
      </c>
      <c r="Z33" s="2">
        <v>5.5E-2</v>
      </c>
      <c r="AA33" s="2">
        <v>7.0999999999999994E-2</v>
      </c>
      <c r="AB33" s="4">
        <v>45078</v>
      </c>
      <c r="AC33" s="1">
        <v>0.28600000000000003</v>
      </c>
      <c r="AD33" s="1">
        <v>7.0000000000000007E-2</v>
      </c>
      <c r="AE33" s="1">
        <v>0.23300000000000001</v>
      </c>
      <c r="AF33" s="1">
        <v>2.7999999999999997E-2</v>
      </c>
      <c r="AG33" s="1">
        <v>2.4E-2</v>
      </c>
      <c r="AH33" s="4">
        <v>45078</v>
      </c>
      <c r="AI33" s="6">
        <v>0.19</v>
      </c>
      <c r="AJ33" s="6">
        <v>-0.04</v>
      </c>
      <c r="AL33" s="6">
        <v>-0.02</v>
      </c>
      <c r="AM33" s="4">
        <v>45078</v>
      </c>
      <c r="AN33" s="3">
        <v>-0.22800000000000001</v>
      </c>
      <c r="AO33" s="2">
        <v>4.2000000000000003E-2</v>
      </c>
      <c r="AP33" s="2"/>
      <c r="AQ33" s="3">
        <v>-0.16399999999999998</v>
      </c>
      <c r="AR33" s="3"/>
      <c r="AS33" s="3"/>
      <c r="AT33" s="3">
        <v>-0.156</v>
      </c>
    </row>
    <row r="34" spans="1:60" x14ac:dyDescent="0.2">
      <c r="A34" s="4">
        <v>45108</v>
      </c>
      <c r="B34" s="1">
        <v>0.311</v>
      </c>
      <c r="C34" s="1">
        <v>0.33299999999999996</v>
      </c>
      <c r="D34" s="1">
        <v>0.13200000000000001</v>
      </c>
      <c r="E34" s="1">
        <v>8.900000000000001E-2</v>
      </c>
      <c r="F34" s="1">
        <v>0.05</v>
      </c>
      <c r="G34" s="1">
        <v>3.3000000000000002E-2</v>
      </c>
      <c r="I34" s="4">
        <v>45108</v>
      </c>
      <c r="J34" s="7">
        <v>60</v>
      </c>
      <c r="K34" s="7">
        <v>60</v>
      </c>
      <c r="M34" s="4">
        <v>45108</v>
      </c>
      <c r="N34" s="1">
        <v>0.221</v>
      </c>
      <c r="O34" s="1">
        <v>-0.64500000000000002</v>
      </c>
      <c r="P34" s="6">
        <f t="shared" si="1"/>
        <v>-0.42400000000000004</v>
      </c>
      <c r="Q34" s="4">
        <v>45108</v>
      </c>
      <c r="R34" s="2">
        <v>0.11199999999999999</v>
      </c>
      <c r="S34" s="2">
        <v>0.31900000000000001</v>
      </c>
      <c r="T34" s="2">
        <v>7.8E-2</v>
      </c>
      <c r="U34" s="2"/>
      <c r="V34" s="2">
        <v>4.4999999999999998E-2</v>
      </c>
      <c r="W34" s="2">
        <v>4.9000000000000002E-2</v>
      </c>
      <c r="X34" s="2">
        <v>0.04</v>
      </c>
      <c r="Y34" s="2">
        <v>0.04</v>
      </c>
      <c r="Z34" s="2">
        <v>4.0999999999999995E-2</v>
      </c>
      <c r="AA34" s="2">
        <v>5.7999999999999996E-2</v>
      </c>
      <c r="AB34" s="4">
        <v>45108</v>
      </c>
      <c r="AC34" s="1">
        <v>0.22600000000000001</v>
      </c>
      <c r="AD34" s="1">
        <v>0.06</v>
      </c>
      <c r="AE34" s="1">
        <v>0.20300000000000001</v>
      </c>
      <c r="AF34" s="1">
        <v>3.6000000000000004E-2</v>
      </c>
      <c r="AG34" s="1">
        <v>2.3E-2</v>
      </c>
      <c r="AH34" s="4">
        <v>45108</v>
      </c>
      <c r="AI34" s="6">
        <v>0.15</v>
      </c>
      <c r="AJ34" s="6">
        <v>-0.02</v>
      </c>
      <c r="AL34" s="6">
        <v>-0.06</v>
      </c>
      <c r="AM34" s="4">
        <v>45108</v>
      </c>
      <c r="AN34" s="3">
        <v>-0.20899999999999999</v>
      </c>
      <c r="AO34" s="2">
        <v>4.2999999999999997E-2</v>
      </c>
      <c r="AP34" s="2"/>
      <c r="AQ34" s="3">
        <v>-0.161</v>
      </c>
      <c r="AR34" s="3"/>
      <c r="AS34" s="3"/>
      <c r="AT34" s="3">
        <v>-0.14300000000000002</v>
      </c>
    </row>
    <row r="35" spans="1:60" x14ac:dyDescent="0.2">
      <c r="A35" s="4">
        <v>45139</v>
      </c>
      <c r="B35" s="1">
        <v>0.27100000000000002</v>
      </c>
      <c r="C35" s="1">
        <v>0.34899999999999998</v>
      </c>
      <c r="D35" s="1">
        <v>0.13</v>
      </c>
      <c r="E35" s="1">
        <v>0.12</v>
      </c>
      <c r="F35" s="1">
        <v>2.5000000000000001E-2</v>
      </c>
      <c r="G35" s="1">
        <v>5.8000000000000003E-2</v>
      </c>
      <c r="I35" s="4">
        <v>45139</v>
      </c>
      <c r="J35" s="7">
        <v>52</v>
      </c>
      <c r="K35" s="7">
        <v>61</v>
      </c>
      <c r="M35" s="4">
        <v>45139</v>
      </c>
      <c r="N35" s="1">
        <v>0.24399999999999999</v>
      </c>
      <c r="O35" s="1">
        <v>-0.60499999999999998</v>
      </c>
      <c r="P35" s="6">
        <f t="shared" si="1"/>
        <v>-0.36099999999999999</v>
      </c>
      <c r="Q35" s="4">
        <v>45139</v>
      </c>
      <c r="R35" s="2">
        <v>9.3000000000000013E-2</v>
      </c>
      <c r="S35" s="2">
        <v>0.32299999999999995</v>
      </c>
      <c r="T35" s="2">
        <v>8.1000000000000003E-2</v>
      </c>
      <c r="U35" s="2"/>
      <c r="V35" s="2">
        <v>1.9E-2</v>
      </c>
      <c r="W35" s="2">
        <v>5.2999999999999999E-2</v>
      </c>
      <c r="X35" s="2">
        <v>3.4000000000000002E-2</v>
      </c>
      <c r="Y35" s="2">
        <v>0.03</v>
      </c>
      <c r="Z35" s="2">
        <v>3.7000000000000005E-2</v>
      </c>
      <c r="AA35" s="2">
        <v>8.5999999999999993E-2</v>
      </c>
      <c r="AB35" s="4">
        <v>45139</v>
      </c>
      <c r="AC35" s="1">
        <v>0.251</v>
      </c>
      <c r="AD35" s="1">
        <v>6.8000000000000005E-2</v>
      </c>
      <c r="AE35" s="1">
        <v>0.247</v>
      </c>
      <c r="AF35" s="1">
        <v>6.7000000000000004E-2</v>
      </c>
      <c r="AG35" s="1">
        <v>0.04</v>
      </c>
      <c r="AH35" s="4">
        <v>45139</v>
      </c>
      <c r="AI35" s="6">
        <v>9.3000000000000013E-2</v>
      </c>
      <c r="AJ35" s="6">
        <v>-0.08</v>
      </c>
      <c r="AL35" s="6">
        <v>-7.2999999999999995E-2</v>
      </c>
      <c r="AM35" s="4">
        <v>45139</v>
      </c>
      <c r="AN35" s="3">
        <v>-0.24100000000000002</v>
      </c>
      <c r="AO35" s="2">
        <v>8.1000000000000003E-2</v>
      </c>
      <c r="AP35" s="2"/>
      <c r="AQ35" s="3">
        <v>-0.16800000000000001</v>
      </c>
      <c r="AR35" s="3"/>
      <c r="AS35" s="3"/>
      <c r="AT35" s="3">
        <v>-0.15</v>
      </c>
    </row>
    <row r="36" spans="1:60" x14ac:dyDescent="0.2">
      <c r="A36" s="4">
        <v>45170</v>
      </c>
      <c r="B36" s="2">
        <v>0.26500000000000001</v>
      </c>
      <c r="C36" s="2">
        <v>0.35</v>
      </c>
      <c r="D36" s="2">
        <v>0.14300000000000002</v>
      </c>
      <c r="E36" s="2">
        <v>0.127</v>
      </c>
      <c r="F36" s="2">
        <v>2.8999999999999998E-2</v>
      </c>
      <c r="G36" s="2">
        <v>3.9E-2</v>
      </c>
      <c r="I36" s="4">
        <v>45170</v>
      </c>
      <c r="J36" s="7">
        <v>56</v>
      </c>
      <c r="K36" s="7">
        <v>64</v>
      </c>
      <c r="M36" s="4">
        <v>45170</v>
      </c>
      <c r="N36" s="1">
        <v>0.24299999999999999</v>
      </c>
      <c r="O36" s="1">
        <v>-0.60299999999999998</v>
      </c>
      <c r="P36" s="6">
        <f t="shared" si="1"/>
        <v>-0.36</v>
      </c>
      <c r="Q36" s="4">
        <v>45170</v>
      </c>
      <c r="R36" s="2">
        <v>0.13800000000000001</v>
      </c>
      <c r="S36" s="2">
        <v>0.36200000000000004</v>
      </c>
      <c r="T36" s="2">
        <v>5.5999999999999994E-2</v>
      </c>
      <c r="U36" s="2"/>
      <c r="V36" s="2">
        <v>2.2000000000000002E-2</v>
      </c>
      <c r="W36" s="2">
        <v>4.9000000000000002E-2</v>
      </c>
      <c r="X36" s="2">
        <v>4.7E-2</v>
      </c>
      <c r="Y36" s="2">
        <v>0.04</v>
      </c>
      <c r="Z36" s="2">
        <v>4.7E-2</v>
      </c>
      <c r="AA36" s="2">
        <v>7.4999999999999997E-2</v>
      </c>
      <c r="AB36" s="4">
        <v>45170</v>
      </c>
      <c r="AC36" s="1">
        <v>0.251</v>
      </c>
      <c r="AD36" s="1">
        <v>8.199999999999999E-2</v>
      </c>
      <c r="AE36" s="1">
        <v>0.253</v>
      </c>
      <c r="AF36" s="1">
        <v>4.4999999999999998E-2</v>
      </c>
      <c r="AG36" s="1">
        <v>4.7E-2</v>
      </c>
      <c r="AH36" s="4">
        <v>45170</v>
      </c>
      <c r="AI36" s="6">
        <v>0.16</v>
      </c>
      <c r="AJ36" s="6">
        <v>-0.13</v>
      </c>
      <c r="AL36" s="6">
        <v>-0.04</v>
      </c>
      <c r="AM36" s="4">
        <v>45170</v>
      </c>
      <c r="AN36" s="3">
        <v>-0.19899999999999998</v>
      </c>
      <c r="AO36" s="2">
        <v>-2E-3</v>
      </c>
      <c r="AP36" s="2"/>
      <c r="AQ36" s="3">
        <v>-0.20499999999999999</v>
      </c>
      <c r="AR36" s="3"/>
      <c r="AS36" s="3"/>
      <c r="AT36" s="3">
        <v>-0.13600000000000001</v>
      </c>
    </row>
    <row r="37" spans="1:60" x14ac:dyDescent="0.2">
      <c r="A37" s="4">
        <v>45200</v>
      </c>
      <c r="B37" s="2">
        <v>0.27899999999999997</v>
      </c>
      <c r="C37" s="2">
        <v>0.35899999999999999</v>
      </c>
      <c r="D37" s="2">
        <v>9.0999999999999998E-2</v>
      </c>
      <c r="E37" s="2">
        <v>0.106</v>
      </c>
      <c r="F37" s="2">
        <v>3.7000000000000005E-2</v>
      </c>
      <c r="G37" s="2">
        <v>6.9000000000000006E-2</v>
      </c>
      <c r="I37" s="4">
        <v>45200</v>
      </c>
      <c r="J37" s="7">
        <v>53</v>
      </c>
      <c r="K37" s="7">
        <v>67</v>
      </c>
      <c r="M37" s="4">
        <v>45200</v>
      </c>
      <c r="N37" s="1">
        <v>0.28300000000000003</v>
      </c>
      <c r="O37" s="1">
        <v>-0.58700000000000008</v>
      </c>
      <c r="P37" s="6">
        <f t="shared" si="1"/>
        <v>-0.30400000000000005</v>
      </c>
      <c r="Q37" s="4">
        <v>45200</v>
      </c>
      <c r="R37" s="2">
        <v>8.1000000000000003E-2</v>
      </c>
      <c r="S37" s="2">
        <v>0.35899999999999999</v>
      </c>
      <c r="T37" s="2">
        <v>6.4000000000000001E-2</v>
      </c>
      <c r="U37" s="2"/>
      <c r="V37" s="2">
        <v>0.03</v>
      </c>
      <c r="W37" s="2">
        <v>6.0999999999999999E-2</v>
      </c>
      <c r="X37" s="2">
        <v>2.6000000000000002E-2</v>
      </c>
      <c r="Y37" s="2">
        <v>0.04</v>
      </c>
      <c r="Z37" s="2">
        <v>3.7000000000000005E-2</v>
      </c>
      <c r="AA37" s="2">
        <v>9.4E-2</v>
      </c>
      <c r="AB37" s="4">
        <v>45200</v>
      </c>
      <c r="AC37" s="1">
        <v>0.27300000000000002</v>
      </c>
      <c r="AD37" s="1">
        <v>3.7999999999999999E-2</v>
      </c>
      <c r="AE37" s="1">
        <v>0.28999999999999998</v>
      </c>
      <c r="AF37" s="1">
        <v>4.2999999999999997E-2</v>
      </c>
      <c r="AG37" s="1">
        <v>6.0999999999999999E-2</v>
      </c>
      <c r="AH37" s="4">
        <v>45200</v>
      </c>
      <c r="AI37" s="6">
        <v>0.191</v>
      </c>
      <c r="AJ37" s="6">
        <v>-0.222</v>
      </c>
      <c r="AK37" s="6">
        <v>-0.38</v>
      </c>
      <c r="AL37" s="6">
        <v>-2.3E-2</v>
      </c>
      <c r="AM37" s="4">
        <v>45200</v>
      </c>
      <c r="AN37" s="3">
        <v>-0.19</v>
      </c>
      <c r="AO37" s="2">
        <v>1.6E-2</v>
      </c>
      <c r="AP37" s="2"/>
      <c r="AQ37" s="3">
        <v>-0.14000000000000001</v>
      </c>
      <c r="AR37" s="3"/>
      <c r="AS37" s="3"/>
      <c r="AT37" s="3">
        <v>-0.158</v>
      </c>
    </row>
    <row r="38" spans="1:60" x14ac:dyDescent="0.2">
      <c r="A38" s="4">
        <v>45213</v>
      </c>
      <c r="B38" s="2">
        <v>0.26900000000000002</v>
      </c>
      <c r="C38" s="2">
        <v>0.38100000000000001</v>
      </c>
      <c r="D38" s="2">
        <v>8.5999999999999993E-2</v>
      </c>
      <c r="E38" s="2">
        <v>0.11600000000000001</v>
      </c>
      <c r="F38" s="2">
        <v>3.1E-2</v>
      </c>
      <c r="G38" s="2">
        <v>6.0999999999999999E-2</v>
      </c>
      <c r="I38" s="4">
        <v>45213</v>
      </c>
      <c r="J38" s="7">
        <v>55</v>
      </c>
      <c r="K38" s="7">
        <v>67</v>
      </c>
      <c r="M38" s="4">
        <v>45231</v>
      </c>
      <c r="N38" s="1">
        <v>0.28600000000000003</v>
      </c>
      <c r="O38" s="1">
        <v>-0.48899999999999999</v>
      </c>
      <c r="P38" s="6">
        <f t="shared" si="1"/>
        <v>-0.20299999999999996</v>
      </c>
      <c r="Q38" s="4">
        <v>45231</v>
      </c>
      <c r="R38" s="2">
        <v>0.13600000000000001</v>
      </c>
      <c r="S38" s="2">
        <v>0.28100000000000003</v>
      </c>
      <c r="T38" s="2">
        <v>3.4000000000000002E-2</v>
      </c>
      <c r="U38" s="2"/>
      <c r="V38" s="2">
        <v>6.0999999999999999E-2</v>
      </c>
      <c r="W38" s="2">
        <v>0.05</v>
      </c>
      <c r="X38" s="2">
        <v>3.6000000000000004E-2</v>
      </c>
      <c r="Y38" s="2">
        <v>0.04</v>
      </c>
      <c r="Z38" s="2">
        <v>4.8000000000000001E-2</v>
      </c>
      <c r="AA38" s="2">
        <v>5.2000000000000005E-2</v>
      </c>
      <c r="AB38" s="4">
        <v>45231</v>
      </c>
      <c r="AC38" s="1">
        <v>0.18</v>
      </c>
      <c r="AD38" s="1">
        <v>4.4000000000000004E-2</v>
      </c>
      <c r="AE38" s="1">
        <v>0.33100000000000002</v>
      </c>
      <c r="AF38" s="1">
        <v>0.05</v>
      </c>
      <c r="AG38" s="1">
        <v>6.3E-2</v>
      </c>
      <c r="AH38" s="4">
        <v>45231</v>
      </c>
      <c r="AI38" s="6">
        <v>0.18</v>
      </c>
      <c r="AJ38" s="6">
        <v>-0.14000000000000001</v>
      </c>
      <c r="AK38" s="6">
        <v>-0.32</v>
      </c>
      <c r="AL38" s="6">
        <v>0.09</v>
      </c>
      <c r="AM38" s="4">
        <v>45231</v>
      </c>
      <c r="AN38" s="3">
        <v>-0.29600000000000004</v>
      </c>
      <c r="AO38" s="2">
        <v>4.0000000000000001E-3</v>
      </c>
      <c r="AP38" s="2"/>
      <c r="AQ38" s="3">
        <v>-0.23800000000000002</v>
      </c>
      <c r="AR38" s="3"/>
      <c r="AS38" s="3"/>
      <c r="AT38" s="3">
        <v>-0.28300000000000003</v>
      </c>
    </row>
    <row r="39" spans="1:60" x14ac:dyDescent="0.2">
      <c r="A39" s="4">
        <v>45231</v>
      </c>
      <c r="B39" s="2">
        <v>0.28299999999999997</v>
      </c>
      <c r="C39" s="2">
        <v>0.37</v>
      </c>
      <c r="D39" s="2">
        <v>8.1000000000000003E-2</v>
      </c>
      <c r="E39" s="2">
        <v>0.13800000000000001</v>
      </c>
      <c r="F39" s="2">
        <v>3.4000000000000002E-2</v>
      </c>
      <c r="G39" s="2">
        <v>0.06</v>
      </c>
      <c r="I39" s="4">
        <v>45231</v>
      </c>
      <c r="J39" s="7">
        <v>58</v>
      </c>
      <c r="K39" s="7">
        <v>64</v>
      </c>
      <c r="L39" s="10">
        <f>K39+J39-120</f>
        <v>2</v>
      </c>
      <c r="M39" s="4">
        <f>I40</f>
        <v>45261</v>
      </c>
      <c r="N39" s="1">
        <v>0.30599999999999999</v>
      </c>
      <c r="O39" s="1">
        <v>-0.498</v>
      </c>
      <c r="P39" s="6">
        <f t="shared" si="1"/>
        <v>-0.192</v>
      </c>
      <c r="Q39" s="4">
        <f>M39</f>
        <v>45261</v>
      </c>
      <c r="R39" s="2">
        <v>0.10800000000000001</v>
      </c>
      <c r="S39" s="2">
        <v>0.27</v>
      </c>
      <c r="T39" s="2">
        <v>4.4999999999999998E-2</v>
      </c>
      <c r="U39" s="2"/>
      <c r="V39" s="2">
        <v>6.8000000000000005E-2</v>
      </c>
      <c r="W39" s="2">
        <v>4.5999999999999999E-2</v>
      </c>
      <c r="X39" s="2">
        <v>2.8999999999999998E-2</v>
      </c>
      <c r="Y39" s="2">
        <v>0.04</v>
      </c>
      <c r="Z39" s="2">
        <v>3.9E-2</v>
      </c>
      <c r="AA39" s="2">
        <v>0.05</v>
      </c>
      <c r="AB39" s="4">
        <f>Q39</f>
        <v>45261</v>
      </c>
      <c r="AC39" s="1">
        <v>0.217</v>
      </c>
      <c r="AD39" s="1">
        <v>4.4000000000000004E-2</v>
      </c>
      <c r="AE39" s="1">
        <v>0.30399999999999999</v>
      </c>
      <c r="AF39" s="1">
        <v>5.9000000000000004E-2</v>
      </c>
      <c r="AG39" s="1">
        <v>2.8999999999999998E-2</v>
      </c>
      <c r="AH39" s="4">
        <f>AB39</f>
        <v>45261</v>
      </c>
      <c r="AI39" s="6">
        <v>0.09</v>
      </c>
      <c r="AJ39" s="6">
        <v>-0.19</v>
      </c>
      <c r="AK39" s="6">
        <v>-0.36</v>
      </c>
      <c r="AL39" s="6">
        <v>-0.01</v>
      </c>
      <c r="AM39" s="4">
        <f>AH39</f>
        <v>45261</v>
      </c>
      <c r="AN39" s="3">
        <v>-0.29600000000000004</v>
      </c>
      <c r="AO39" s="2">
        <v>-2E-3</v>
      </c>
      <c r="AP39" s="2"/>
      <c r="AQ39" s="3">
        <v>-0.20199999999999999</v>
      </c>
      <c r="AR39" s="3"/>
      <c r="AS39" s="3"/>
      <c r="AT39" s="3">
        <v>-0.22699999999999998</v>
      </c>
    </row>
    <row r="40" spans="1:60" x14ac:dyDescent="0.2">
      <c r="A40" s="4">
        <v>45261</v>
      </c>
      <c r="B40" s="2">
        <v>0.28799999999999998</v>
      </c>
      <c r="C40" s="2">
        <v>0.36499999999999999</v>
      </c>
      <c r="D40" s="2">
        <v>6.2E-2</v>
      </c>
      <c r="E40" s="2">
        <v>0.108</v>
      </c>
      <c r="F40" s="2">
        <v>0.05</v>
      </c>
      <c r="G40" s="2">
        <v>8.1000000000000003E-2</v>
      </c>
      <c r="I40" s="4">
        <f>A40</f>
        <v>45261</v>
      </c>
      <c r="J40" s="7">
        <v>56</v>
      </c>
      <c r="K40" s="7">
        <v>64</v>
      </c>
      <c r="L40" s="10">
        <f t="shared" ref="L40:L65" si="2">K40+J40-120</f>
        <v>0</v>
      </c>
      <c r="M40" s="4">
        <v>45292</v>
      </c>
      <c r="N40" s="1">
        <v>0.41399999999999998</v>
      </c>
      <c r="O40" s="1">
        <v>-0.37799999999999995</v>
      </c>
      <c r="P40" s="6">
        <f t="shared" si="1"/>
        <v>3.6000000000000032E-2</v>
      </c>
      <c r="Q40" s="4">
        <v>45292</v>
      </c>
      <c r="R40" s="2">
        <v>0.129</v>
      </c>
      <c r="S40" s="2">
        <v>0.255</v>
      </c>
      <c r="T40" s="2">
        <v>6.7000000000000004E-2</v>
      </c>
      <c r="U40" s="2"/>
      <c r="V40" s="2">
        <v>3.7000000000000005E-2</v>
      </c>
      <c r="W40" s="2">
        <v>4.2000000000000003E-2</v>
      </c>
      <c r="X40" s="2">
        <v>3.4000000000000002E-2</v>
      </c>
      <c r="Y40" s="2">
        <v>0.05</v>
      </c>
      <c r="Z40" s="2">
        <v>0.05</v>
      </c>
      <c r="AA40" s="2">
        <v>7.4999999999999997E-2</v>
      </c>
      <c r="AB40" s="4">
        <v>45292</v>
      </c>
      <c r="AC40" s="1">
        <v>0.13100000000000001</v>
      </c>
      <c r="AD40" s="1">
        <v>5.5999999999999994E-2</v>
      </c>
      <c r="AE40" s="1">
        <v>0.311</v>
      </c>
      <c r="AF40" s="1">
        <v>8.199999999999999E-2</v>
      </c>
      <c r="AG40" s="1">
        <v>5.5999999999999994E-2</v>
      </c>
      <c r="AH40" s="4">
        <v>45292</v>
      </c>
      <c r="AI40" s="6">
        <v>0.03</v>
      </c>
      <c r="AJ40" s="6">
        <v>-0.14000000000000001</v>
      </c>
      <c r="AK40" s="6">
        <v>-0.24</v>
      </c>
      <c r="AL40" s="6">
        <v>0.05</v>
      </c>
      <c r="AM40" s="4">
        <v>45292</v>
      </c>
      <c r="AN40" s="3">
        <v>-0.34600000000000003</v>
      </c>
      <c r="AO40" s="2">
        <v>-1.7000000000000001E-2</v>
      </c>
      <c r="AP40" s="2"/>
      <c r="AQ40" s="3">
        <v>-0.26300000000000001</v>
      </c>
      <c r="AR40" s="3"/>
      <c r="AS40" s="3"/>
      <c r="AT40" s="3">
        <v>-0.21899999999999997</v>
      </c>
    </row>
    <row r="41" spans="1:60" x14ac:dyDescent="0.2">
      <c r="A41" s="4">
        <v>45292</v>
      </c>
      <c r="B41" s="2">
        <v>0.28399999999999997</v>
      </c>
      <c r="C41" s="2">
        <v>0.41</v>
      </c>
      <c r="D41" s="2">
        <v>7.8E-2</v>
      </c>
      <c r="E41" s="2">
        <v>9.5000000000000001E-2</v>
      </c>
      <c r="F41" s="2">
        <v>3.5999999999999997E-2</v>
      </c>
      <c r="G41" s="2">
        <v>5.6000000000000001E-2</v>
      </c>
      <c r="I41" s="4">
        <v>45292</v>
      </c>
      <c r="J41" s="7">
        <v>54</v>
      </c>
      <c r="K41" s="7">
        <v>68</v>
      </c>
      <c r="L41" s="10">
        <f t="shared" si="2"/>
        <v>2</v>
      </c>
      <c r="M41" s="4">
        <v>45323</v>
      </c>
      <c r="N41" s="1">
        <v>0.436</v>
      </c>
      <c r="O41" s="1">
        <v>-0.40699999999999997</v>
      </c>
      <c r="P41" s="6">
        <f t="shared" si="1"/>
        <v>2.9000000000000026E-2</v>
      </c>
      <c r="Q41" s="4">
        <v>45323</v>
      </c>
      <c r="R41" s="2">
        <v>0.10800000000000001</v>
      </c>
      <c r="S41" s="2">
        <v>0.24299999999999999</v>
      </c>
      <c r="T41" s="2">
        <v>7.2999999999999995E-2</v>
      </c>
      <c r="U41" s="2"/>
      <c r="V41" s="2">
        <v>6.3E-2</v>
      </c>
      <c r="W41" s="2">
        <v>0.04</v>
      </c>
      <c r="X41" s="2">
        <v>5.2000000000000005E-2</v>
      </c>
      <c r="Y41" s="2">
        <v>7.1999999999999995E-2</v>
      </c>
      <c r="Z41" s="2">
        <v>3.3000000000000002E-2</v>
      </c>
      <c r="AA41" s="2">
        <v>7.0000000000000007E-2</v>
      </c>
      <c r="AB41" s="4">
        <v>45323</v>
      </c>
      <c r="AC41" s="1">
        <v>0.193</v>
      </c>
      <c r="AD41" s="1">
        <v>9.5000000000000001E-2</v>
      </c>
      <c r="AE41" s="1">
        <v>0.28699999999999998</v>
      </c>
      <c r="AF41" s="1">
        <v>6.2E-2</v>
      </c>
      <c r="AG41" s="1">
        <v>5.7000000000000002E-2</v>
      </c>
      <c r="AH41" s="4">
        <v>45323</v>
      </c>
      <c r="AI41" s="6">
        <v>0.04</v>
      </c>
      <c r="AJ41" s="6">
        <v>-0.08</v>
      </c>
      <c r="AK41" s="6">
        <v>-0.22</v>
      </c>
      <c r="AL41" s="6">
        <v>0.11</v>
      </c>
      <c r="AM41" s="4">
        <v>45323</v>
      </c>
      <c r="AN41" s="3">
        <v>-0.308</v>
      </c>
      <c r="AO41" s="2">
        <v>-4.8000000000000001E-2</v>
      </c>
      <c r="AP41" s="2"/>
      <c r="AQ41" s="3">
        <v>-0.31900000000000001</v>
      </c>
      <c r="AT41" s="3">
        <v>-0.14300000000000002</v>
      </c>
    </row>
    <row r="42" spans="1:60" x14ac:dyDescent="0.2">
      <c r="A42" s="4">
        <v>45323</v>
      </c>
      <c r="B42" s="2">
        <v>0.27900000000000003</v>
      </c>
      <c r="C42" s="2">
        <v>0.39600000000000002</v>
      </c>
      <c r="D42" s="2">
        <v>0.13700000000000001</v>
      </c>
      <c r="E42" s="2">
        <v>0.09</v>
      </c>
      <c r="F42" s="2">
        <v>2.3E-2</v>
      </c>
      <c r="G42" s="2">
        <v>0.05</v>
      </c>
      <c r="I42" s="4">
        <v>45323</v>
      </c>
      <c r="J42" s="7">
        <v>51</v>
      </c>
      <c r="K42" s="7">
        <v>72</v>
      </c>
      <c r="L42" s="10">
        <f t="shared" si="2"/>
        <v>3</v>
      </c>
      <c r="M42" s="4">
        <v>45352</v>
      </c>
      <c r="N42" s="1">
        <v>0.43</v>
      </c>
      <c r="O42" s="1">
        <v>-0.46</v>
      </c>
      <c r="P42" s="6">
        <f t="shared" si="1"/>
        <v>-3.0000000000000027E-2</v>
      </c>
      <c r="Q42" s="4">
        <v>45352</v>
      </c>
      <c r="R42" s="2">
        <v>0.19500000000000001</v>
      </c>
      <c r="S42" s="2">
        <v>0.255</v>
      </c>
      <c r="T42" s="2">
        <v>4.5999999999999999E-2</v>
      </c>
      <c r="U42" s="2"/>
      <c r="V42" s="2">
        <v>3.9E-2</v>
      </c>
      <c r="W42" s="2">
        <v>4.9000000000000002E-2</v>
      </c>
      <c r="X42" s="2">
        <v>1.3000000000000001E-2</v>
      </c>
      <c r="Y42" s="2">
        <v>0.03</v>
      </c>
      <c r="Z42" s="2">
        <v>2.2000000000000002E-2</v>
      </c>
      <c r="AA42" s="2">
        <v>7.4499999999999997E-2</v>
      </c>
      <c r="AB42" s="4">
        <v>45352</v>
      </c>
      <c r="AC42" s="1">
        <v>0.184</v>
      </c>
      <c r="AD42" s="1">
        <v>8.1000000000000003E-2</v>
      </c>
      <c r="AE42" s="1">
        <v>0.29299999999999998</v>
      </c>
      <c r="AF42" s="1">
        <v>5.7000000000000002E-2</v>
      </c>
      <c r="AG42" s="1">
        <v>7.2000000000000008E-2</v>
      </c>
      <c r="AH42" s="4">
        <v>45352</v>
      </c>
      <c r="AI42" s="6">
        <v>0.02</v>
      </c>
      <c r="AJ42" s="6">
        <v>-0.08</v>
      </c>
      <c r="AK42" s="6">
        <v>-0.12</v>
      </c>
      <c r="AL42" s="6">
        <v>-0.05</v>
      </c>
      <c r="AM42" s="4">
        <v>45352</v>
      </c>
      <c r="AN42" s="3">
        <v>-0.24399999999999999</v>
      </c>
      <c r="AO42" s="2">
        <v>-1.2E-2</v>
      </c>
      <c r="AP42" s="2"/>
      <c r="AQ42" s="3">
        <v>-0.17899999999999999</v>
      </c>
      <c r="AT42" s="3">
        <v>-0.14699999999999999</v>
      </c>
    </row>
    <row r="43" spans="1:60" x14ac:dyDescent="0.2">
      <c r="A43" s="4">
        <v>45352</v>
      </c>
      <c r="B43" s="2">
        <v>0.253</v>
      </c>
      <c r="C43" s="2">
        <v>0.374</v>
      </c>
      <c r="D43" s="2">
        <v>0.1</v>
      </c>
      <c r="E43" s="2">
        <v>0.113</v>
      </c>
      <c r="F43" s="2">
        <v>2.5000000000000001E-2</v>
      </c>
      <c r="G43" s="2">
        <v>7.3999999999999996E-2</v>
      </c>
      <c r="I43" s="4">
        <v>45352</v>
      </c>
      <c r="J43" s="7">
        <v>53</v>
      </c>
      <c r="K43" s="7">
        <v>70</v>
      </c>
      <c r="L43" s="10">
        <f t="shared" si="2"/>
        <v>3</v>
      </c>
      <c r="M43" s="4">
        <v>45383</v>
      </c>
      <c r="N43" s="1">
        <v>0.38900000000000001</v>
      </c>
      <c r="O43" s="1">
        <v>-0.47899999999999998</v>
      </c>
      <c r="P43" s="6">
        <f t="shared" si="1"/>
        <v>-8.9999999999999969E-2</v>
      </c>
      <c r="Q43" s="4">
        <v>45383</v>
      </c>
      <c r="R43" s="2">
        <v>0.13100000000000001</v>
      </c>
      <c r="S43" s="2">
        <v>0.27899999999999997</v>
      </c>
      <c r="T43" s="2">
        <v>5.7000000000000002E-2</v>
      </c>
      <c r="U43" s="2"/>
      <c r="V43" s="2">
        <v>3.7999999999999999E-2</v>
      </c>
      <c r="W43" s="2">
        <v>6.4000000000000001E-2</v>
      </c>
      <c r="X43" s="2">
        <v>3.2000000000000001E-2</v>
      </c>
      <c r="Y43" s="2">
        <v>2.7000000000000003E-2</v>
      </c>
      <c r="Z43" s="2">
        <v>6.6000000000000003E-2</v>
      </c>
      <c r="AA43" s="2">
        <v>8.6999999999999994E-2</v>
      </c>
      <c r="AB43" s="4">
        <v>45383</v>
      </c>
      <c r="AC43" s="1">
        <v>0.17300000000000001</v>
      </c>
      <c r="AD43" s="1">
        <v>5.9000000000000004E-2</v>
      </c>
      <c r="AE43" s="1">
        <v>0.27500000000000002</v>
      </c>
      <c r="AF43" s="1">
        <v>7.400000000000001E-2</v>
      </c>
      <c r="AG43" s="1">
        <v>6.3E-2</v>
      </c>
      <c r="AH43" s="4">
        <v>45383</v>
      </c>
      <c r="AI43" s="6">
        <v>-0.06</v>
      </c>
      <c r="AJ43" s="6">
        <v>-0.11</v>
      </c>
      <c r="AK43" s="6">
        <v>-0.18</v>
      </c>
      <c r="AL43" s="6">
        <v>-7.0000000000000007E-2</v>
      </c>
      <c r="AM43" s="4">
        <v>45383</v>
      </c>
      <c r="AN43" s="3">
        <v>-0.17600000000000002</v>
      </c>
      <c r="AO43" s="2">
        <v>7.0000000000000001E-3</v>
      </c>
      <c r="AP43" s="2"/>
      <c r="AQ43" s="3">
        <v>-0.18</v>
      </c>
      <c r="AT43" s="3">
        <v>-7.4999999999999997E-2</v>
      </c>
    </row>
    <row r="44" spans="1:60" x14ac:dyDescent="0.2">
      <c r="A44" s="4">
        <v>45383</v>
      </c>
      <c r="B44" s="2">
        <v>0.25700000000000001</v>
      </c>
      <c r="C44" s="2">
        <v>0.371</v>
      </c>
      <c r="D44" s="2">
        <v>7.1999999999999995E-2</v>
      </c>
      <c r="E44" s="2">
        <v>0.14599999999999999</v>
      </c>
      <c r="F44" s="2">
        <v>4.5999999999999999E-2</v>
      </c>
      <c r="G44" s="2">
        <v>6.3E-2</v>
      </c>
      <c r="I44" s="4">
        <v>45383</v>
      </c>
      <c r="J44" s="7">
        <v>56</v>
      </c>
      <c r="K44" s="7">
        <v>64</v>
      </c>
      <c r="L44" s="10">
        <f t="shared" si="2"/>
        <v>0</v>
      </c>
      <c r="M44" s="4">
        <f>I45</f>
        <v>45413</v>
      </c>
      <c r="N44" s="1">
        <v>0.45100000000000001</v>
      </c>
      <c r="O44" s="1">
        <v>-0.42599999999999999</v>
      </c>
      <c r="P44" s="6">
        <f t="shared" si="1"/>
        <v>2.5000000000000022E-2</v>
      </c>
      <c r="Q44" s="4">
        <f>M44</f>
        <v>45413</v>
      </c>
      <c r="R44" s="2">
        <v>0.13500000000000001</v>
      </c>
      <c r="S44" s="2">
        <v>0.35100000000000003</v>
      </c>
      <c r="T44" s="2">
        <v>7.4999999999999997E-2</v>
      </c>
      <c r="U44" s="2"/>
      <c r="V44" s="2">
        <v>2.3E-2</v>
      </c>
      <c r="W44" s="2">
        <v>4.9000000000000002E-2</v>
      </c>
      <c r="X44" s="2">
        <v>5.0999999999999997E-2</v>
      </c>
      <c r="Y44" s="2">
        <v>0.03</v>
      </c>
      <c r="Z44" s="2">
        <v>4.4000000000000004E-2</v>
      </c>
      <c r="AA44" s="2">
        <v>7.2999999999999995E-2</v>
      </c>
      <c r="AB44" s="4">
        <f>Q44</f>
        <v>45413</v>
      </c>
      <c r="AC44" s="1">
        <v>0.21100000000000002</v>
      </c>
      <c r="AD44" s="1">
        <v>7.2000000000000008E-2</v>
      </c>
      <c r="AE44" s="1">
        <v>0.28300000000000003</v>
      </c>
      <c r="AF44" s="1">
        <v>6.0999999999999999E-2</v>
      </c>
      <c r="AG44" s="1">
        <v>8.5000000000000006E-2</v>
      </c>
      <c r="AH44" s="4">
        <f>AB44</f>
        <v>45413</v>
      </c>
      <c r="AI44" s="6">
        <v>-0.01</v>
      </c>
      <c r="AJ44" s="6">
        <v>-7.0000000000000007E-2</v>
      </c>
      <c r="AK44" s="6">
        <v>-0.05</v>
      </c>
      <c r="AL44" s="6">
        <v>0.08</v>
      </c>
      <c r="AM44" s="4">
        <f>AH44</f>
        <v>45413</v>
      </c>
      <c r="AN44" s="3">
        <v>-0.311</v>
      </c>
      <c r="AO44" s="2">
        <v>-2.8999999999999998E-2</v>
      </c>
      <c r="AP44" s="2"/>
      <c r="AQ44" s="3">
        <v>-0.27200000000000002</v>
      </c>
      <c r="AT44" s="3">
        <v>-0.217</v>
      </c>
    </row>
    <row r="45" spans="1:60" x14ac:dyDescent="0.2">
      <c r="A45" s="4">
        <v>45413</v>
      </c>
      <c r="B45" s="2">
        <v>0.3</v>
      </c>
      <c r="C45" s="2">
        <v>0.373</v>
      </c>
      <c r="D45" s="2">
        <v>9.4E-2</v>
      </c>
      <c r="E45" s="2">
        <v>0.10199999999999999</v>
      </c>
      <c r="F45" s="2">
        <v>3.1E-2</v>
      </c>
      <c r="G45" s="2">
        <v>5.5E-2</v>
      </c>
      <c r="I45" s="4">
        <f>A45</f>
        <v>45413</v>
      </c>
      <c r="J45" s="7">
        <v>56</v>
      </c>
      <c r="K45" s="7">
        <v>66</v>
      </c>
      <c r="L45" s="10">
        <f t="shared" si="2"/>
        <v>2</v>
      </c>
      <c r="M45" s="4">
        <v>45444</v>
      </c>
      <c r="N45" s="1">
        <v>0.43200000000000005</v>
      </c>
      <c r="O45" s="1">
        <v>-0.42700000000000005</v>
      </c>
      <c r="P45" s="6">
        <f t="shared" si="1"/>
        <v>5.0000000000000044E-3</v>
      </c>
      <c r="Q45" s="4">
        <v>45444</v>
      </c>
      <c r="R45" s="2">
        <v>0.122</v>
      </c>
      <c r="S45" s="2">
        <v>0.253</v>
      </c>
      <c r="T45" s="2">
        <v>7.9000000000000001E-2</v>
      </c>
      <c r="U45" s="2"/>
      <c r="V45" s="2">
        <v>1.3000000000000001E-2</v>
      </c>
      <c r="W45" s="2">
        <v>5.5999999999999994E-2</v>
      </c>
      <c r="X45" s="2">
        <v>0.04</v>
      </c>
      <c r="Y45" s="2">
        <v>0.03</v>
      </c>
      <c r="Z45" s="2">
        <v>4.2999999999999997E-2</v>
      </c>
      <c r="AA45" s="2">
        <v>0.12300000000000001</v>
      </c>
      <c r="AB45" s="4">
        <v>45444</v>
      </c>
      <c r="AC45" s="1">
        <v>0.20199999999999999</v>
      </c>
      <c r="AD45" s="1">
        <v>0.05</v>
      </c>
      <c r="AE45" s="1">
        <v>0.254</v>
      </c>
      <c r="AF45" s="1">
        <v>3.7999999999999999E-2</v>
      </c>
      <c r="AG45" s="1">
        <v>8.5999999999999993E-2</v>
      </c>
      <c r="AH45" s="4">
        <v>45444</v>
      </c>
      <c r="AI45" s="6">
        <v>0.03</v>
      </c>
      <c r="AJ45" s="6">
        <v>-0.18</v>
      </c>
      <c r="AK45" s="6">
        <v>-0.19</v>
      </c>
      <c r="AL45" s="6">
        <v>-0.05</v>
      </c>
      <c r="AM45" s="4">
        <v>45444</v>
      </c>
      <c r="AN45" s="3">
        <v>-0.25</v>
      </c>
      <c r="AO45" s="2">
        <v>-4.2999999999999997E-2</v>
      </c>
      <c r="AP45" s="2"/>
      <c r="AQ45" s="3">
        <v>-0.2</v>
      </c>
      <c r="AT45" s="3">
        <v>-0.17600000000000002</v>
      </c>
    </row>
    <row r="46" spans="1:60" x14ac:dyDescent="0.2">
      <c r="A46" s="4">
        <v>45444</v>
      </c>
      <c r="B46" s="2">
        <v>0.29399999999999998</v>
      </c>
      <c r="C46" s="2">
        <v>0.35399999999999998</v>
      </c>
      <c r="D46" s="2">
        <v>9.7000000000000003E-2</v>
      </c>
      <c r="E46" s="2">
        <v>0.127</v>
      </c>
      <c r="F46" s="2">
        <v>0.04</v>
      </c>
      <c r="G46" s="2">
        <v>5.6000000000000001E-2</v>
      </c>
      <c r="I46" s="4">
        <v>45444</v>
      </c>
      <c r="J46" s="7">
        <v>58</v>
      </c>
      <c r="K46" s="7">
        <v>63</v>
      </c>
      <c r="L46" s="10">
        <f t="shared" si="2"/>
        <v>1</v>
      </c>
      <c r="M46" s="4">
        <v>45474</v>
      </c>
      <c r="N46" s="1">
        <v>0.46700000000000003</v>
      </c>
      <c r="O46" s="1">
        <v>-0.41799999999999998</v>
      </c>
      <c r="P46" s="6">
        <f t="shared" si="1"/>
        <v>4.9000000000000044E-2</v>
      </c>
      <c r="Q46" s="4">
        <v>45474</v>
      </c>
      <c r="R46" s="2">
        <v>0.17800000000000002</v>
      </c>
      <c r="S46" s="2">
        <v>0.245</v>
      </c>
      <c r="T46" s="2">
        <v>7.4999999999999997E-2</v>
      </c>
      <c r="U46" s="2"/>
      <c r="V46" s="2">
        <v>2.5000000000000001E-2</v>
      </c>
      <c r="W46" s="2">
        <v>4.4999999999999998E-2</v>
      </c>
      <c r="X46" s="2">
        <v>3.9E-2</v>
      </c>
      <c r="Y46" s="2">
        <v>2.3E-2</v>
      </c>
      <c r="Z46" s="2">
        <v>9.7000000000000003E-2</v>
      </c>
      <c r="AA46" s="2">
        <v>7.2999999999999995E-2</v>
      </c>
      <c r="AB46" s="4">
        <v>45474</v>
      </c>
      <c r="AC46" s="1">
        <v>0.187</v>
      </c>
      <c r="AD46" s="1">
        <v>5.5999999999999994E-2</v>
      </c>
      <c r="AE46" s="1">
        <v>0.34499999999999997</v>
      </c>
      <c r="AF46" s="1">
        <v>5.5999999999999994E-2</v>
      </c>
      <c r="AG46" s="1">
        <v>0.109</v>
      </c>
      <c r="AH46" s="4">
        <v>45474</v>
      </c>
      <c r="AI46" s="6">
        <v>0.06</v>
      </c>
      <c r="AJ46" s="6">
        <v>-0.04</v>
      </c>
      <c r="AK46" s="6">
        <v>-0.13</v>
      </c>
      <c r="AL46" s="6">
        <v>0.06</v>
      </c>
      <c r="AM46" s="4">
        <v>45474</v>
      </c>
      <c r="AN46" s="3">
        <v>-0.26600000000000001</v>
      </c>
      <c r="AO46" s="2">
        <v>-3.4000000000000002E-2</v>
      </c>
      <c r="AP46" s="2"/>
      <c r="AQ46" s="3">
        <v>-0.19500000000000001</v>
      </c>
      <c r="AT46" s="3">
        <v>-0.17100000000000001</v>
      </c>
    </row>
    <row r="47" spans="1:60" x14ac:dyDescent="0.2">
      <c r="A47" s="4">
        <v>45474</v>
      </c>
      <c r="B47" s="2">
        <v>0.25900000000000001</v>
      </c>
      <c r="C47" s="2">
        <v>0.376</v>
      </c>
      <c r="D47" s="2">
        <v>9.0999999999999998E-2</v>
      </c>
      <c r="E47" s="2">
        <v>0.125</v>
      </c>
      <c r="F47" s="2">
        <v>3.5000000000000003E-2</v>
      </c>
      <c r="G47" s="2">
        <v>7.2999999999999995E-2</v>
      </c>
      <c r="I47" s="4">
        <v>45474</v>
      </c>
      <c r="J47" s="7">
        <v>55</v>
      </c>
      <c r="K47" s="7">
        <v>67</v>
      </c>
      <c r="L47" s="10">
        <f t="shared" si="2"/>
        <v>2</v>
      </c>
      <c r="M47" s="4">
        <v>45505</v>
      </c>
      <c r="N47" s="1">
        <v>0.45700000000000002</v>
      </c>
      <c r="O47" s="1">
        <v>-0.38400000000000001</v>
      </c>
      <c r="P47" s="6">
        <f t="shared" si="1"/>
        <v>7.3000000000000009E-2</v>
      </c>
      <c r="Q47" s="4">
        <v>45505</v>
      </c>
      <c r="R47" s="2">
        <v>0.13300000000000001</v>
      </c>
      <c r="S47" s="2">
        <v>0.21600000000000003</v>
      </c>
      <c r="T47" s="2">
        <v>5.4000000000000006E-2</v>
      </c>
      <c r="U47" s="2"/>
      <c r="V47" s="2">
        <v>2.6000000000000002E-2</v>
      </c>
      <c r="W47" s="2">
        <v>3.2000000000000001E-2</v>
      </c>
      <c r="X47" s="2">
        <v>3.7999999999999999E-2</v>
      </c>
      <c r="Y47" s="2">
        <v>3.7999999999999999E-2</v>
      </c>
      <c r="Z47" s="2">
        <v>6.4000000000000001E-2</v>
      </c>
      <c r="AA47" s="2">
        <v>0.129</v>
      </c>
      <c r="AB47" s="4">
        <v>45505</v>
      </c>
      <c r="AC47" s="1">
        <v>0.16800000000000001</v>
      </c>
      <c r="AD47" s="1">
        <v>3.9E-2</v>
      </c>
      <c r="AE47" s="1">
        <v>0.314</v>
      </c>
      <c r="AF47" s="1">
        <v>6.0999999999999999E-2</v>
      </c>
      <c r="AG47" s="1">
        <v>6.5000000000000002E-2</v>
      </c>
      <c r="AH47" s="4">
        <v>45505</v>
      </c>
      <c r="AI47" s="6">
        <v>0.05</v>
      </c>
      <c r="AJ47" s="6">
        <v>-0.1</v>
      </c>
      <c r="AK47" s="6">
        <v>-0.06</v>
      </c>
      <c r="AL47" s="6">
        <v>0.03</v>
      </c>
      <c r="AM47" s="4">
        <v>45505</v>
      </c>
      <c r="AN47" s="3">
        <v>-0.26200000000000001</v>
      </c>
      <c r="AO47" s="2">
        <v>-9.1999999999999998E-2</v>
      </c>
      <c r="AP47" s="2"/>
      <c r="AQ47" s="3">
        <v>-0.23600000000000002</v>
      </c>
      <c r="AT47" s="3">
        <v>-0.153</v>
      </c>
      <c r="AY47" t="s">
        <v>13</v>
      </c>
      <c r="AZ47" t="s">
        <v>19</v>
      </c>
      <c r="BA47" t="s">
        <v>18</v>
      </c>
      <c r="BB47" t="s">
        <v>71</v>
      </c>
      <c r="BC47" t="s">
        <v>90</v>
      </c>
      <c r="BD47" t="s">
        <v>140</v>
      </c>
      <c r="BE47" t="s">
        <v>35</v>
      </c>
      <c r="BF47" t="s">
        <v>141</v>
      </c>
      <c r="BG47" t="s">
        <v>17</v>
      </c>
      <c r="BH47" t="s">
        <v>16</v>
      </c>
    </row>
    <row r="48" spans="1:60" x14ac:dyDescent="0.2">
      <c r="A48" s="4">
        <v>45505</v>
      </c>
      <c r="B48" s="2">
        <v>0.29099999999999998</v>
      </c>
      <c r="C48" s="2">
        <v>0.38500000000000001</v>
      </c>
      <c r="D48" s="2">
        <v>7.2999999999999995E-2</v>
      </c>
      <c r="E48" s="2">
        <v>0.10199999999999999</v>
      </c>
      <c r="F48" s="2">
        <v>1.7999999999999999E-2</v>
      </c>
      <c r="G48" s="2">
        <v>6.0999999999999999E-2</v>
      </c>
      <c r="I48" s="4">
        <v>45505</v>
      </c>
      <c r="J48" s="7">
        <v>57</v>
      </c>
      <c r="K48" s="7">
        <v>67</v>
      </c>
      <c r="L48" s="10">
        <f t="shared" si="2"/>
        <v>4</v>
      </c>
      <c r="M48" s="4">
        <v>45536</v>
      </c>
      <c r="N48" s="1">
        <v>0.46700000000000003</v>
      </c>
      <c r="O48" s="1">
        <v>-0.39200000000000002</v>
      </c>
      <c r="P48" s="6">
        <f t="shared" si="1"/>
        <v>7.5000000000000011E-2</v>
      </c>
      <c r="Q48" s="4">
        <v>45536</v>
      </c>
      <c r="R48" s="2">
        <v>0.16699999999999998</v>
      </c>
      <c r="S48" s="2">
        <v>0.23800000000000002</v>
      </c>
      <c r="T48" s="2">
        <v>7.400000000000001E-2</v>
      </c>
      <c r="U48" s="2"/>
      <c r="V48" s="2">
        <v>0.02</v>
      </c>
      <c r="W48" s="2">
        <v>3.5000000000000003E-2</v>
      </c>
      <c r="X48" s="2">
        <v>3.7000000000000005E-2</v>
      </c>
      <c r="Y48" s="2">
        <v>4.9000000000000002E-2</v>
      </c>
      <c r="Z48" s="2">
        <v>5.2000000000000005E-2</v>
      </c>
      <c r="AA48" s="2">
        <v>0.11699999999999999</v>
      </c>
      <c r="AB48" s="4">
        <v>45536</v>
      </c>
      <c r="AC48" s="1">
        <v>0.126</v>
      </c>
      <c r="AD48" s="1">
        <v>5.1999999999999998E-2</v>
      </c>
      <c r="AE48" s="1">
        <v>0.32700000000000001</v>
      </c>
      <c r="AF48" s="1">
        <v>6.7000000000000004E-2</v>
      </c>
      <c r="AG48" s="1">
        <v>7.2000000000000008E-2</v>
      </c>
      <c r="AH48" s="4">
        <v>45536</v>
      </c>
      <c r="AI48" s="6">
        <v>-0.1</v>
      </c>
      <c r="AJ48" s="6">
        <v>-0.14000000000000001</v>
      </c>
      <c r="AK48" s="6">
        <v>-0.09</v>
      </c>
      <c r="AL48" s="6">
        <v>7.0000000000000007E-2</v>
      </c>
      <c r="AM48" s="4">
        <v>45536</v>
      </c>
      <c r="AN48" s="3">
        <v>-0.28000000000000003</v>
      </c>
      <c r="AO48" s="2">
        <v>-0.1</v>
      </c>
      <c r="AP48" s="5">
        <v>8.9999999999999993E-3</v>
      </c>
      <c r="AQ48" s="3">
        <v>-0.26300000000000001</v>
      </c>
      <c r="AR48" s="3">
        <v>-0.154</v>
      </c>
      <c r="AS48" s="3">
        <v>-0.14099999999999999</v>
      </c>
      <c r="AT48" s="3">
        <v>-0.21</v>
      </c>
      <c r="AU48" s="3">
        <v>-0.27200000000000002</v>
      </c>
      <c r="AV48" s="5">
        <v>-7.5999999999999998E-2</v>
      </c>
      <c r="AW48" s="3">
        <v>-8.1000000000000003E-2</v>
      </c>
      <c r="AX48" s="4">
        <f>AM48</f>
        <v>45536</v>
      </c>
      <c r="AY48" s="9">
        <v>8.1999999999999993</v>
      </c>
      <c r="AZ48" s="9">
        <v>8.5</v>
      </c>
      <c r="BA48" s="9">
        <v>7.6</v>
      </c>
      <c r="BB48" s="9">
        <v>8</v>
      </c>
      <c r="BC48" s="9">
        <v>8.1</v>
      </c>
      <c r="BD48" s="9">
        <v>7</v>
      </c>
      <c r="BE48" s="9">
        <v>7.9</v>
      </c>
      <c r="BF48" s="9">
        <v>7.9</v>
      </c>
      <c r="BG48" s="9">
        <v>7.7</v>
      </c>
      <c r="BH48" s="9">
        <v>7.6</v>
      </c>
    </row>
    <row r="49" spans="1:60" x14ac:dyDescent="0.2">
      <c r="A49" s="4">
        <v>45536</v>
      </c>
      <c r="B49" s="2">
        <v>0.26700000000000002</v>
      </c>
      <c r="C49" s="2">
        <v>0.39</v>
      </c>
      <c r="D49" s="2">
        <v>8.7999999999999995E-2</v>
      </c>
      <c r="E49" s="2">
        <v>0.11</v>
      </c>
      <c r="F49" s="2">
        <v>0.05</v>
      </c>
      <c r="G49" s="2">
        <v>6.8000000000000005E-2</v>
      </c>
      <c r="I49" s="4">
        <v>45536</v>
      </c>
      <c r="J49" s="7">
        <v>53</v>
      </c>
      <c r="K49" s="7">
        <v>67</v>
      </c>
      <c r="L49" s="10">
        <f t="shared" si="2"/>
        <v>0</v>
      </c>
      <c r="M49" s="4">
        <v>45566</v>
      </c>
      <c r="N49" s="1">
        <v>0.42599999999999999</v>
      </c>
      <c r="O49" s="1">
        <v>-0.41699999999999998</v>
      </c>
      <c r="P49" s="6">
        <f t="shared" si="1"/>
        <v>9.000000000000008E-3</v>
      </c>
      <c r="Q49" s="4">
        <v>45566</v>
      </c>
      <c r="R49" s="2">
        <v>0.19800000000000001</v>
      </c>
      <c r="S49" s="2">
        <v>0.185</v>
      </c>
      <c r="T49" s="2">
        <v>4.4999999999999998E-2</v>
      </c>
      <c r="U49" s="2"/>
      <c r="V49" s="2">
        <v>3.2000000000000001E-2</v>
      </c>
      <c r="W49" s="2">
        <v>3.7000000000000005E-2</v>
      </c>
      <c r="X49" s="2">
        <v>3.7000000000000005E-2</v>
      </c>
      <c r="Y49" s="2">
        <v>3.7999999999999999E-2</v>
      </c>
      <c r="Z49" s="2">
        <v>0.06</v>
      </c>
      <c r="AA49" s="2">
        <v>0.13800000000000001</v>
      </c>
      <c r="AB49" s="4">
        <v>45566</v>
      </c>
      <c r="AC49" s="1">
        <v>0.16899999999999998</v>
      </c>
      <c r="AD49" s="1">
        <v>7.400000000000001E-2</v>
      </c>
      <c r="AE49" s="1">
        <v>0.27699999999999997</v>
      </c>
      <c r="AF49" s="1">
        <v>8.4000000000000005E-2</v>
      </c>
      <c r="AG49" s="1">
        <v>9.9000000000000005E-2</v>
      </c>
      <c r="AH49" s="4">
        <v>45566</v>
      </c>
      <c r="AI49" s="6">
        <v>-0.08</v>
      </c>
      <c r="AJ49" s="6">
        <v>-0.17</v>
      </c>
      <c r="AK49" s="6">
        <v>-0.04</v>
      </c>
      <c r="AL49" s="6">
        <v>0</v>
      </c>
      <c r="AM49" s="4">
        <v>45566</v>
      </c>
      <c r="AN49" s="3">
        <v>-0.26</v>
      </c>
      <c r="AO49" s="2">
        <v>-1.7000000000000001E-2</v>
      </c>
      <c r="AP49" s="5">
        <v>-3.0000000000000001E-3</v>
      </c>
      <c r="AQ49" s="3">
        <v>-0.22</v>
      </c>
      <c r="AR49" s="3">
        <v>-0.124</v>
      </c>
      <c r="AS49" s="3">
        <v>-0.122</v>
      </c>
      <c r="AT49" s="3">
        <v>-0.23300000000000001</v>
      </c>
      <c r="AU49" s="3">
        <v>-0.21</v>
      </c>
      <c r="AV49" s="3">
        <v>-1.8000000000000002E-2</v>
      </c>
      <c r="AW49" s="3">
        <v>-9.3000000000000013E-2</v>
      </c>
      <c r="AX49" s="4">
        <v>45566</v>
      </c>
      <c r="AY49" s="9">
        <v>8.3000000000000007</v>
      </c>
      <c r="AZ49" s="9">
        <v>8.5</v>
      </c>
      <c r="BA49" s="9">
        <v>7.7</v>
      </c>
      <c r="BB49" s="9">
        <v>8.1999999999999993</v>
      </c>
      <c r="BC49" s="9">
        <v>8.1999999999999993</v>
      </c>
      <c r="BD49" s="9">
        <v>6.9</v>
      </c>
      <c r="BE49" s="9">
        <v>7.9</v>
      </c>
      <c r="BF49" s="9">
        <v>8</v>
      </c>
      <c r="BG49" s="9">
        <v>7.7</v>
      </c>
      <c r="BH49" s="9">
        <v>7.4</v>
      </c>
    </row>
    <row r="50" spans="1:60" x14ac:dyDescent="0.2">
      <c r="A50" s="4">
        <v>45566</v>
      </c>
      <c r="B50" s="2">
        <v>0.30299999999999999</v>
      </c>
      <c r="C50" s="2">
        <v>0.34899999999999998</v>
      </c>
      <c r="D50" s="2">
        <v>9.7000000000000003E-2</v>
      </c>
      <c r="E50" s="2">
        <v>0.104</v>
      </c>
      <c r="F50" s="2">
        <v>0.03</v>
      </c>
      <c r="G50" s="2">
        <v>7.5999999999999998E-2</v>
      </c>
      <c r="I50" s="4">
        <v>45566</v>
      </c>
      <c r="J50" s="7">
        <v>57</v>
      </c>
      <c r="K50" s="7">
        <v>65</v>
      </c>
      <c r="L50" s="10">
        <f t="shared" si="2"/>
        <v>2</v>
      </c>
      <c r="M50" s="4">
        <v>45597</v>
      </c>
      <c r="N50" s="1">
        <v>0.45399999999999996</v>
      </c>
      <c r="O50" s="1">
        <v>-0.43</v>
      </c>
      <c r="P50" s="6">
        <f t="shared" si="1"/>
        <v>2.3999999999999966E-2</v>
      </c>
      <c r="Q50" s="4">
        <v>45597</v>
      </c>
      <c r="R50" s="2">
        <v>0.182</v>
      </c>
      <c r="S50" s="2">
        <v>0.22800000000000001</v>
      </c>
      <c r="T50" s="2">
        <v>7.0999999999999994E-2</v>
      </c>
      <c r="U50" s="2"/>
      <c r="V50" s="2">
        <v>2.2000000000000002E-2</v>
      </c>
      <c r="W50" s="2">
        <v>6.3E-2</v>
      </c>
      <c r="X50" s="2">
        <v>3.7000000000000005E-2</v>
      </c>
      <c r="Y50" s="2">
        <v>5.0999999999999997E-2</v>
      </c>
      <c r="Z50" s="2">
        <v>4.4999999999999998E-2</v>
      </c>
      <c r="AA50" s="2">
        <v>9.6000000000000002E-2</v>
      </c>
      <c r="AB50" s="4">
        <v>45597</v>
      </c>
      <c r="AC50" s="1">
        <v>0.155</v>
      </c>
      <c r="AD50" s="1">
        <v>7.400000000000001E-2</v>
      </c>
      <c r="AE50" s="1">
        <v>0.26500000000000001</v>
      </c>
      <c r="AF50" s="1">
        <v>6.3E-2</v>
      </c>
      <c r="AG50" s="1">
        <v>5.2000000000000005E-2</v>
      </c>
      <c r="AH50" s="4">
        <v>45597</v>
      </c>
      <c r="AI50" s="6">
        <v>-0.09</v>
      </c>
      <c r="AJ50" s="6">
        <v>-0.16</v>
      </c>
      <c r="AK50" s="6">
        <v>-0.03</v>
      </c>
      <c r="AL50" s="6">
        <v>0.03</v>
      </c>
      <c r="AM50" s="4">
        <v>45597</v>
      </c>
      <c r="AN50" s="3">
        <v>-0.26899999999999996</v>
      </c>
      <c r="AO50" s="2">
        <v>3.0000000000000001E-3</v>
      </c>
      <c r="AP50" s="5">
        <v>6.3E-2</v>
      </c>
      <c r="AQ50" s="3">
        <v>-8.4000000000000005E-2</v>
      </c>
      <c r="AR50" s="3">
        <v>-0.128</v>
      </c>
      <c r="AS50" s="3">
        <v>-0.113</v>
      </c>
      <c r="AT50" s="3">
        <v>-0.13699999999999998</v>
      </c>
      <c r="AU50" s="3">
        <v>-0.14099999999999999</v>
      </c>
      <c r="AV50" s="3">
        <v>-2.1000000000000001E-2</v>
      </c>
      <c r="AW50" s="3">
        <v>-6.4000000000000001E-2</v>
      </c>
      <c r="AX50" s="4">
        <v>45597</v>
      </c>
      <c r="AY50" s="9">
        <v>8.1999999999999993</v>
      </c>
      <c r="AZ50" s="9">
        <v>8.4</v>
      </c>
      <c r="BA50" s="9">
        <v>8</v>
      </c>
      <c r="BB50" s="9">
        <v>8.1999999999999993</v>
      </c>
      <c r="BC50" s="9">
        <v>8.1999999999999993</v>
      </c>
      <c r="BD50" s="9">
        <v>7.3</v>
      </c>
      <c r="BE50" s="9">
        <v>8</v>
      </c>
      <c r="BF50" s="9">
        <v>8.1</v>
      </c>
      <c r="BG50" s="9">
        <v>8</v>
      </c>
      <c r="BH50" s="9">
        <v>7.5</v>
      </c>
    </row>
    <row r="51" spans="1:60" x14ac:dyDescent="0.2">
      <c r="A51" s="4">
        <v>45597</v>
      </c>
      <c r="B51" s="2">
        <v>0.315</v>
      </c>
      <c r="C51" s="2">
        <v>0.38800000000000001</v>
      </c>
      <c r="D51" s="2">
        <v>8.5000000000000006E-2</v>
      </c>
      <c r="E51" s="2">
        <v>9.2999999999999999E-2</v>
      </c>
      <c r="F51" s="2">
        <v>2.5000000000000001E-2</v>
      </c>
      <c r="G51" s="2">
        <v>6.5000000000000002E-2</v>
      </c>
      <c r="I51" s="4">
        <v>45597</v>
      </c>
      <c r="J51" s="7">
        <v>56</v>
      </c>
      <c r="K51" s="7">
        <v>67</v>
      </c>
      <c r="L51" s="10">
        <f t="shared" si="2"/>
        <v>3</v>
      </c>
      <c r="M51" s="4">
        <v>45627</v>
      </c>
      <c r="N51" s="1">
        <v>0.45200000000000001</v>
      </c>
      <c r="O51" s="1">
        <v>-0.41899999999999998</v>
      </c>
      <c r="P51" s="6">
        <f t="shared" si="1"/>
        <v>3.3000000000000029E-2</v>
      </c>
      <c r="Q51" s="4">
        <v>45627</v>
      </c>
      <c r="R51" s="2">
        <v>0.188</v>
      </c>
      <c r="S51" s="2">
        <v>0.22500000000000001</v>
      </c>
      <c r="T51" s="2">
        <v>5.2999999999999999E-2</v>
      </c>
      <c r="U51" s="2"/>
      <c r="V51" s="2">
        <v>2.4E-2</v>
      </c>
      <c r="W51" s="2">
        <v>4.5999999999999999E-2</v>
      </c>
      <c r="X51" s="2">
        <v>2.3E-2</v>
      </c>
      <c r="Y51" s="2">
        <v>8.4000000000000005E-2</v>
      </c>
      <c r="Z51" s="2">
        <v>3.5000000000000003E-2</v>
      </c>
      <c r="AA51" s="2">
        <v>0.11800000000000001</v>
      </c>
      <c r="AB51" s="4">
        <v>45627</v>
      </c>
      <c r="AC51" s="1">
        <v>0.19899999999999998</v>
      </c>
      <c r="AD51" s="1">
        <v>5.7999999999999996E-2</v>
      </c>
      <c r="AE51" s="1">
        <v>0.27100000000000002</v>
      </c>
      <c r="AF51" s="1">
        <v>5.7999999999999996E-2</v>
      </c>
      <c r="AG51" s="1">
        <v>4.4999999999999998E-2</v>
      </c>
      <c r="AH51" s="4">
        <v>45627</v>
      </c>
      <c r="AI51" s="6">
        <v>-0.01</v>
      </c>
      <c r="AJ51" s="6">
        <v>-0.16</v>
      </c>
      <c r="AK51" s="6">
        <v>-0.12</v>
      </c>
      <c r="AL51" s="6">
        <v>-0.05</v>
      </c>
      <c r="AM51" s="4">
        <v>45627</v>
      </c>
      <c r="AN51" s="3">
        <v>-0.26500000000000001</v>
      </c>
      <c r="AO51" s="2">
        <v>3.6000000000000004E-2</v>
      </c>
      <c r="AP51" s="5">
        <v>-4.2000000000000003E-2</v>
      </c>
      <c r="AQ51" s="3">
        <v>-0.20300000000000001</v>
      </c>
      <c r="AR51" s="3">
        <v>-9.6000000000000002E-2</v>
      </c>
      <c r="AS51" s="3">
        <v>-0.13300000000000001</v>
      </c>
      <c r="AT51" s="3">
        <v>-0.182</v>
      </c>
      <c r="AU51" s="3">
        <v>-0.24399999999999999</v>
      </c>
      <c r="AV51" s="3">
        <v>7.0000000000000001E-3</v>
      </c>
      <c r="AW51" s="3">
        <v>-0.11199999999999999</v>
      </c>
      <c r="AX51" s="4">
        <v>45627</v>
      </c>
      <c r="AY51" s="9">
        <v>8.4</v>
      </c>
      <c r="AZ51" s="9">
        <v>8.6</v>
      </c>
      <c r="BA51" s="9">
        <v>7.9</v>
      </c>
      <c r="BB51" s="9">
        <v>8.1999999999999993</v>
      </c>
      <c r="BC51" s="9">
        <v>8.6</v>
      </c>
      <c r="BD51" s="9">
        <v>7.1</v>
      </c>
      <c r="BE51" s="9">
        <v>7.8</v>
      </c>
      <c r="BF51" s="9">
        <v>8.1</v>
      </c>
      <c r="BG51" s="9">
        <v>7.8</v>
      </c>
      <c r="BH51" s="9">
        <v>7.4</v>
      </c>
    </row>
    <row r="52" spans="1:60" x14ac:dyDescent="0.2">
      <c r="A52" s="4">
        <v>45627</v>
      </c>
      <c r="B52" s="2">
        <v>0.26900000000000002</v>
      </c>
      <c r="C52" s="2">
        <v>0.34200000000000003</v>
      </c>
      <c r="D52" s="2">
        <v>0.13</v>
      </c>
      <c r="E52" s="2">
        <v>8.3000000000000004E-2</v>
      </c>
      <c r="F52" s="2">
        <v>5.5E-2</v>
      </c>
      <c r="G52" s="2">
        <v>5.3999999999999999E-2</v>
      </c>
      <c r="I52" s="4">
        <v>45627</v>
      </c>
      <c r="J52" s="7">
        <v>52</v>
      </c>
      <c r="K52" s="7">
        <v>68</v>
      </c>
      <c r="L52" s="10">
        <f t="shared" si="2"/>
        <v>0</v>
      </c>
      <c r="M52" s="4">
        <v>45658</v>
      </c>
      <c r="N52" s="1">
        <v>0.38700000000000001</v>
      </c>
      <c r="O52" s="1">
        <v>-0.52700000000000002</v>
      </c>
      <c r="P52" s="6">
        <f t="shared" si="1"/>
        <v>-0.14000000000000001</v>
      </c>
      <c r="Q52" s="4">
        <v>45658</v>
      </c>
      <c r="R52" s="2">
        <v>0.17499999999999999</v>
      </c>
      <c r="S52" s="2">
        <v>0.223</v>
      </c>
      <c r="T52" s="2">
        <v>3.6000000000000004E-2</v>
      </c>
      <c r="U52" s="2"/>
      <c r="V52" s="2">
        <v>0.01</v>
      </c>
      <c r="W52" s="2">
        <v>5.7999999999999996E-2</v>
      </c>
      <c r="X52" s="2">
        <v>2.7000000000000003E-2</v>
      </c>
      <c r="Y52" s="2">
        <v>0.08</v>
      </c>
      <c r="Z52" s="2">
        <v>4.2999999999999997E-2</v>
      </c>
      <c r="AA52" s="2">
        <v>0.11599999999999999</v>
      </c>
      <c r="AB52" s="4">
        <v>45658</v>
      </c>
      <c r="AC52" s="1">
        <v>0.153</v>
      </c>
      <c r="AD52" s="1">
        <v>6.3E-2</v>
      </c>
      <c r="AE52" s="1">
        <v>0.245</v>
      </c>
      <c r="AF52" s="1">
        <v>8.8000000000000009E-2</v>
      </c>
      <c r="AG52" s="1">
        <v>8.5000000000000006E-2</v>
      </c>
      <c r="AH52" s="4">
        <v>45658</v>
      </c>
      <c r="AI52" s="6">
        <v>-0.08</v>
      </c>
      <c r="AJ52" s="6">
        <v>-0.16</v>
      </c>
      <c r="AK52" s="6">
        <v>-0.05</v>
      </c>
      <c r="AL52" s="6">
        <v>-0.09</v>
      </c>
      <c r="AM52" s="4">
        <v>45658</v>
      </c>
      <c r="AN52" s="3">
        <v>-0.16600000000000001</v>
      </c>
      <c r="AO52" s="2">
        <v>3.7000000000000005E-2</v>
      </c>
      <c r="AP52" s="5">
        <v>-1.3000000000000001E-2</v>
      </c>
      <c r="AQ52" s="3">
        <v>-0.125</v>
      </c>
      <c r="AR52" s="3">
        <v>-7.2000000000000008E-2</v>
      </c>
      <c r="AS52" s="3">
        <v>-1.8000000000000002E-2</v>
      </c>
      <c r="AT52" s="3">
        <v>-0.19500000000000001</v>
      </c>
      <c r="AU52" s="3">
        <v>-0.19500000000000001</v>
      </c>
      <c r="AV52" s="3">
        <v>8.0000000000000002E-3</v>
      </c>
      <c r="AW52" s="3">
        <v>-4.4000000000000004E-2</v>
      </c>
      <c r="AX52" s="4">
        <v>45658</v>
      </c>
      <c r="AY52" s="9">
        <v>8.1</v>
      </c>
      <c r="AZ52" s="9">
        <v>8.4</v>
      </c>
      <c r="BA52" s="9">
        <v>7.6</v>
      </c>
      <c r="BB52" s="9">
        <v>8</v>
      </c>
      <c r="BC52" s="9">
        <v>8.1</v>
      </c>
      <c r="BD52" s="9">
        <v>7.1</v>
      </c>
      <c r="BE52" s="9">
        <v>7.8</v>
      </c>
      <c r="BF52" s="9">
        <v>7.8</v>
      </c>
      <c r="BG52" s="9">
        <v>7.7</v>
      </c>
      <c r="BH52" s="9">
        <v>7.4</v>
      </c>
    </row>
    <row r="53" spans="1:60" x14ac:dyDescent="0.2">
      <c r="A53" s="4">
        <v>45658</v>
      </c>
      <c r="B53" s="2">
        <v>0.309</v>
      </c>
      <c r="C53" s="2">
        <v>0.29599999999999999</v>
      </c>
      <c r="D53" s="2">
        <v>0.108</v>
      </c>
      <c r="E53" s="2">
        <v>9.5000000000000001E-2</v>
      </c>
      <c r="F53" s="2">
        <v>5.2999999999999999E-2</v>
      </c>
      <c r="G53" s="2">
        <v>8.1000000000000003E-2</v>
      </c>
      <c r="I53" s="4">
        <v>45658</v>
      </c>
      <c r="J53" s="7">
        <v>58</v>
      </c>
      <c r="K53" s="7">
        <v>62</v>
      </c>
      <c r="L53" s="10">
        <f t="shared" si="2"/>
        <v>0</v>
      </c>
      <c r="M53" s="4">
        <v>45689</v>
      </c>
      <c r="N53" s="1">
        <v>0.34200000000000003</v>
      </c>
      <c r="O53" s="1">
        <v>-0.5</v>
      </c>
      <c r="P53" s="6">
        <f t="shared" si="1"/>
        <v>-0.15799999999999997</v>
      </c>
      <c r="Q53" s="4">
        <v>45689</v>
      </c>
      <c r="R53" s="2">
        <v>0.17</v>
      </c>
      <c r="S53" s="2">
        <v>0.245</v>
      </c>
      <c r="T53" s="2">
        <v>2.7000000000000003E-2</v>
      </c>
      <c r="U53" s="2"/>
      <c r="V53" s="2">
        <v>2.8999999999999998E-2</v>
      </c>
      <c r="W53" s="2">
        <v>1.8000000000000002E-2</v>
      </c>
      <c r="X53" s="2">
        <v>3.2000000000000001E-2</v>
      </c>
      <c r="Y53" s="2">
        <v>7.5999999999999998E-2</v>
      </c>
      <c r="Z53" s="2">
        <v>4.7E-2</v>
      </c>
      <c r="AA53" s="2">
        <v>0.13900000000000001</v>
      </c>
      <c r="AB53" s="4">
        <v>45689</v>
      </c>
      <c r="AC53" s="1">
        <v>0.17600000000000002</v>
      </c>
      <c r="AD53" s="1">
        <v>6.4000000000000001E-2</v>
      </c>
      <c r="AE53" s="1">
        <v>0.20699999999999999</v>
      </c>
      <c r="AF53" s="1">
        <v>0.08</v>
      </c>
      <c r="AG53" s="1">
        <v>8.900000000000001E-2</v>
      </c>
      <c r="AH53" s="4">
        <v>45689</v>
      </c>
      <c r="AI53" s="6">
        <v>-0.03</v>
      </c>
      <c r="AJ53" s="6">
        <v>-0.24</v>
      </c>
      <c r="AK53" s="6">
        <v>-0.06</v>
      </c>
      <c r="AL53" s="6">
        <v>-0.12</v>
      </c>
      <c r="AM53" s="4">
        <v>45689</v>
      </c>
      <c r="AN53" s="3">
        <v>-8.6999999999999994E-2</v>
      </c>
      <c r="AO53" s="2">
        <v>8.199999999999999E-2</v>
      </c>
      <c r="AP53" s="5">
        <v>0.125</v>
      </c>
      <c r="AQ53" s="3">
        <v>-0.16500000000000001</v>
      </c>
      <c r="AR53" s="3">
        <v>-1.4999999999999999E-2</v>
      </c>
      <c r="AS53" s="3">
        <v>-1.1000000000000001E-2</v>
      </c>
      <c r="AT53" s="3">
        <v>-9.6999999999999989E-2</v>
      </c>
      <c r="AU53" s="3">
        <v>-0.182</v>
      </c>
      <c r="AV53" s="3">
        <v>-4.2000000000000003E-2</v>
      </c>
      <c r="AW53" s="5">
        <v>-4.0000000000000001E-3</v>
      </c>
      <c r="AX53" s="4">
        <v>45689</v>
      </c>
      <c r="AY53" s="9">
        <v>8.5</v>
      </c>
      <c r="AZ53" s="9">
        <v>8.6999999999999993</v>
      </c>
      <c r="BA53" s="9">
        <v>7.9</v>
      </c>
      <c r="BB53" s="9">
        <v>8.1</v>
      </c>
      <c r="BC53" s="9">
        <v>8.4</v>
      </c>
      <c r="BD53" s="9">
        <v>7.2</v>
      </c>
      <c r="BE53" s="9">
        <v>7.9</v>
      </c>
      <c r="BF53" s="9">
        <v>8</v>
      </c>
      <c r="BG53" s="9">
        <v>7.9</v>
      </c>
      <c r="BH53" s="9">
        <v>7.6</v>
      </c>
    </row>
    <row r="54" spans="1:60" x14ac:dyDescent="0.2">
      <c r="A54" s="4">
        <v>45689</v>
      </c>
      <c r="B54" s="2">
        <v>0.313</v>
      </c>
      <c r="C54" s="2">
        <v>0.31900000000000001</v>
      </c>
      <c r="D54" s="2">
        <v>0.1</v>
      </c>
      <c r="E54" s="2">
        <v>0.13200000000000001</v>
      </c>
      <c r="F54" s="2">
        <v>4.3999999999999997E-2</v>
      </c>
      <c r="G54" s="2">
        <v>6.4000000000000001E-2</v>
      </c>
      <c r="I54" s="4">
        <v>45689</v>
      </c>
      <c r="J54" s="7">
        <v>61</v>
      </c>
      <c r="K54" s="7">
        <v>59</v>
      </c>
      <c r="L54" s="10">
        <f t="shared" si="2"/>
        <v>0</v>
      </c>
      <c r="M54" s="4">
        <v>45717</v>
      </c>
      <c r="N54" s="1">
        <v>0.35600000000000004</v>
      </c>
      <c r="O54" s="1">
        <v>-0.48899999999999999</v>
      </c>
      <c r="P54" s="6">
        <f t="shared" si="1"/>
        <v>-0.13299999999999995</v>
      </c>
      <c r="Q54" s="4">
        <v>45717</v>
      </c>
      <c r="R54" s="2">
        <v>0.14399999999999999</v>
      </c>
      <c r="S54" s="2">
        <v>0.23499999999999999</v>
      </c>
      <c r="T54" s="2">
        <v>4.0999999999999995E-2</v>
      </c>
      <c r="U54" s="2"/>
      <c r="V54" s="2">
        <v>1.6E-2</v>
      </c>
      <c r="W54" s="2">
        <v>2.5000000000000001E-2</v>
      </c>
      <c r="X54" s="2">
        <v>2.4E-2</v>
      </c>
      <c r="Y54" s="2">
        <v>5.3999999999999999E-2</v>
      </c>
      <c r="Z54" s="2">
        <v>4.2000000000000003E-2</v>
      </c>
      <c r="AA54" s="2">
        <v>0.14199999999999999</v>
      </c>
      <c r="AB54" s="4">
        <v>45717</v>
      </c>
      <c r="AC54" s="1">
        <v>0.20699999999999999</v>
      </c>
      <c r="AD54" s="1">
        <v>0.05</v>
      </c>
      <c r="AE54" s="1">
        <v>0.20300000000000001</v>
      </c>
      <c r="AF54" s="1">
        <v>8.5999999999999993E-2</v>
      </c>
      <c r="AG54" s="1">
        <v>4.8000000000000001E-2</v>
      </c>
      <c r="AH54" s="4">
        <v>45717</v>
      </c>
      <c r="AI54" s="6">
        <v>0.04</v>
      </c>
      <c r="AJ54" s="6">
        <v>-0.28000000000000003</v>
      </c>
      <c r="AK54" s="6">
        <v>-0.01</v>
      </c>
      <c r="AL54" s="6">
        <v>-0.1</v>
      </c>
      <c r="AM54" s="4">
        <v>45717</v>
      </c>
      <c r="AN54" s="3">
        <v>-0.22699999999999998</v>
      </c>
      <c r="AO54" s="2">
        <v>8.5999999999999993E-2</v>
      </c>
      <c r="AP54" s="5">
        <v>9.6999999999999989E-2</v>
      </c>
      <c r="AQ54" s="3">
        <v>-0.11699999999999999</v>
      </c>
      <c r="AR54" s="3">
        <v>-4.2000000000000003E-2</v>
      </c>
      <c r="AS54" s="3">
        <v>-1.7000000000000001E-2</v>
      </c>
      <c r="AT54" s="3">
        <v>-0.13100000000000001</v>
      </c>
      <c r="AU54" s="3">
        <v>-0.13900000000000001</v>
      </c>
      <c r="AV54" s="3">
        <v>6.6000000000000003E-2</v>
      </c>
      <c r="AW54" s="3">
        <v>5.0000000000000001E-3</v>
      </c>
      <c r="AX54" s="4"/>
      <c r="AY54" s="9"/>
      <c r="AZ54" s="9"/>
      <c r="BA54" s="9"/>
      <c r="BB54" s="9"/>
      <c r="BC54" s="9"/>
      <c r="BD54" s="9"/>
      <c r="BE54" s="9"/>
      <c r="BF54" s="9"/>
      <c r="BG54" s="9"/>
      <c r="BH54" s="9"/>
    </row>
    <row r="55" spans="1:60" x14ac:dyDescent="0.2">
      <c r="A55" s="4">
        <v>45717</v>
      </c>
      <c r="B55" s="2">
        <v>0.34100000000000003</v>
      </c>
      <c r="C55" s="2">
        <v>0.33600000000000002</v>
      </c>
      <c r="D55" s="2">
        <v>7.6999999999999999E-2</v>
      </c>
      <c r="E55" s="2">
        <v>0.1</v>
      </c>
      <c r="F55" s="2">
        <v>6.5000000000000002E-2</v>
      </c>
      <c r="G55" s="2">
        <v>5.0999999999999997E-2</v>
      </c>
      <c r="I55" s="4">
        <v>45717</v>
      </c>
      <c r="J55" s="7">
        <v>62</v>
      </c>
      <c r="K55" s="7">
        <v>58</v>
      </c>
      <c r="L55" s="10">
        <f t="shared" si="2"/>
        <v>0</v>
      </c>
      <c r="M55" s="4">
        <v>45748</v>
      </c>
      <c r="N55" s="1">
        <v>0.41799999999999998</v>
      </c>
      <c r="O55" s="1">
        <v>-0.442</v>
      </c>
      <c r="P55" s="6">
        <f t="shared" si="1"/>
        <v>-2.4000000000000021E-2</v>
      </c>
      <c r="Q55" s="4">
        <v>45748</v>
      </c>
      <c r="R55" s="2">
        <v>0.151</v>
      </c>
      <c r="S55" s="2">
        <v>0.30499999999999999</v>
      </c>
      <c r="T55" s="2">
        <v>3.2000000000000001E-2</v>
      </c>
      <c r="U55" s="2"/>
      <c r="V55" s="2">
        <v>1.1000000000000001E-2</v>
      </c>
      <c r="W55" s="2">
        <v>1.7000000000000001E-2</v>
      </c>
      <c r="X55" s="2">
        <v>2.7999999999999997E-2</v>
      </c>
      <c r="Y55" s="2">
        <v>5.2999999999999999E-2</v>
      </c>
      <c r="Z55" s="2">
        <v>6.2E-2</v>
      </c>
      <c r="AA55" s="2">
        <v>0.14000000000000001</v>
      </c>
      <c r="AB55" s="4">
        <v>45748</v>
      </c>
      <c r="AC55" s="1">
        <v>0.18899999999999997</v>
      </c>
      <c r="AD55" s="1">
        <v>0.08</v>
      </c>
      <c r="AE55" s="1">
        <v>0.21899999999999997</v>
      </c>
      <c r="AF55" s="1">
        <v>0.128</v>
      </c>
      <c r="AG55" s="1">
        <v>4.2000000000000003E-2</v>
      </c>
      <c r="AH55" s="4">
        <v>45748</v>
      </c>
      <c r="AI55" s="6">
        <v>0.02</v>
      </c>
      <c r="AJ55" s="6">
        <v>-0.18</v>
      </c>
      <c r="AK55" s="6">
        <v>-0.04</v>
      </c>
      <c r="AL55" s="6">
        <v>-0.06</v>
      </c>
      <c r="AM55" s="4">
        <v>45748</v>
      </c>
      <c r="AN55" s="3">
        <v>-0.187</v>
      </c>
      <c r="AO55" s="2">
        <v>5.4000000000000006E-2</v>
      </c>
      <c r="AP55" s="5">
        <v>8.5999999999999993E-2</v>
      </c>
      <c r="AQ55" s="3">
        <v>-0.14199999999999999</v>
      </c>
      <c r="AR55" s="3">
        <v>-4.2999999999999997E-2</v>
      </c>
      <c r="AS55" s="3">
        <v>-2.2000000000000002E-2</v>
      </c>
      <c r="AT55" s="3">
        <v>-7.4999999999999997E-2</v>
      </c>
      <c r="AU55" s="3">
        <v>-0.20499999999999999</v>
      </c>
      <c r="AV55" s="3">
        <v>0.06</v>
      </c>
      <c r="AW55" s="3">
        <v>-0.01</v>
      </c>
      <c r="AY55" s="9"/>
      <c r="AZ55" s="9"/>
      <c r="BA55" s="9"/>
      <c r="BB55" s="9"/>
      <c r="BC55" s="9"/>
      <c r="BD55" s="9"/>
      <c r="BE55" s="9"/>
      <c r="BF55" s="9"/>
      <c r="BG55" s="9"/>
      <c r="BH55" s="9"/>
    </row>
    <row r="56" spans="1:60" x14ac:dyDescent="0.2">
      <c r="A56" s="4">
        <v>45748</v>
      </c>
      <c r="B56" s="2">
        <v>0.29799999999999999</v>
      </c>
      <c r="C56" s="2">
        <v>0.33500000000000002</v>
      </c>
      <c r="D56" s="2">
        <v>0.1</v>
      </c>
      <c r="E56" s="2">
        <v>0.11</v>
      </c>
      <c r="F56" s="2">
        <v>4.2999999999999997E-2</v>
      </c>
      <c r="G56" s="2">
        <v>7.3999999999999996E-2</v>
      </c>
      <c r="I56" s="4">
        <v>45748</v>
      </c>
      <c r="J56" s="7">
        <v>57</v>
      </c>
      <c r="K56" s="7">
        <v>64</v>
      </c>
      <c r="L56" s="10">
        <f t="shared" si="2"/>
        <v>1</v>
      </c>
      <c r="M56" s="4">
        <v>45778</v>
      </c>
      <c r="N56" s="1">
        <v>0.33299999999999996</v>
      </c>
      <c r="O56" s="1">
        <v>-0.46</v>
      </c>
      <c r="P56" s="6">
        <f t="shared" si="1"/>
        <v>-0.12700000000000006</v>
      </c>
      <c r="Q56" s="4">
        <v>45778</v>
      </c>
      <c r="R56" s="2">
        <v>0.16500000000000001</v>
      </c>
      <c r="S56" s="2">
        <v>0.26400000000000001</v>
      </c>
      <c r="T56" s="2">
        <v>3.3000000000000002E-2</v>
      </c>
      <c r="U56" s="2"/>
      <c r="V56" s="2">
        <v>1.4999999999999999E-2</v>
      </c>
      <c r="W56" s="2">
        <v>1.6E-2</v>
      </c>
      <c r="X56" s="2">
        <v>0.01</v>
      </c>
      <c r="Y56" s="2">
        <v>3.4000000000000002E-2</v>
      </c>
      <c r="Z56" s="2">
        <v>3.7000000000000005E-2</v>
      </c>
      <c r="AA56" s="2">
        <v>0.16899999999999998</v>
      </c>
      <c r="AB56" s="4">
        <v>45778</v>
      </c>
      <c r="AC56" s="1">
        <v>0.2</v>
      </c>
      <c r="AD56" s="1">
        <v>6.7000000000000004E-2</v>
      </c>
      <c r="AE56" s="1">
        <v>0.245</v>
      </c>
      <c r="AF56" s="1">
        <v>8.1000000000000003E-2</v>
      </c>
      <c r="AG56" s="1">
        <v>0.05</v>
      </c>
      <c r="AH56" s="4">
        <v>45778</v>
      </c>
      <c r="AI56" s="6">
        <v>0.09</v>
      </c>
      <c r="AJ56" s="6">
        <v>-0.16</v>
      </c>
      <c r="AK56" s="6">
        <v>-0.06</v>
      </c>
      <c r="AL56" s="6">
        <v>-0.08</v>
      </c>
      <c r="AM56" s="4">
        <v>45778</v>
      </c>
      <c r="AN56" s="3">
        <v>-0.214</v>
      </c>
      <c r="AO56" s="2">
        <v>5.2999999999999999E-2</v>
      </c>
      <c r="AP56" s="5">
        <v>0.107</v>
      </c>
      <c r="AQ56" s="3">
        <v>-6.7000000000000004E-2</v>
      </c>
      <c r="AR56" s="3">
        <v>-2.7999999999999997E-2</v>
      </c>
      <c r="AS56" s="3">
        <v>-1E-3</v>
      </c>
      <c r="AT56" s="3">
        <v>-0.13699999999999998</v>
      </c>
      <c r="AU56" s="3">
        <v>-0.16600000000000001</v>
      </c>
      <c r="AV56" s="3">
        <v>0.10400000000000001</v>
      </c>
      <c r="AW56" s="3">
        <v>6.0999999999999999E-2</v>
      </c>
      <c r="AY56" s="9"/>
      <c r="AZ56" s="9"/>
      <c r="BA56" s="9"/>
      <c r="BB56" s="9"/>
      <c r="BC56" s="9"/>
      <c r="BD56" s="9"/>
      <c r="BE56" s="9"/>
      <c r="BF56" s="9"/>
      <c r="BG56" s="9"/>
      <c r="BH56" s="9"/>
    </row>
    <row r="57" spans="1:60" x14ac:dyDescent="0.2">
      <c r="A57" s="4">
        <v>45778</v>
      </c>
      <c r="B57" s="2">
        <v>0.33200000000000002</v>
      </c>
      <c r="C57" s="2">
        <v>0.34599999999999997</v>
      </c>
      <c r="D57" s="2">
        <v>9.5000000000000001E-2</v>
      </c>
      <c r="E57" s="2">
        <v>9.0999999999999998E-2</v>
      </c>
      <c r="F57" s="2">
        <v>3.9E-2</v>
      </c>
      <c r="G57" s="2">
        <v>7.3999999999999996E-2</v>
      </c>
      <c r="I57" s="4">
        <v>45778</v>
      </c>
      <c r="J57" s="7">
        <v>58</v>
      </c>
      <c r="K57" s="7">
        <v>63</v>
      </c>
      <c r="L57" s="10">
        <f t="shared" si="2"/>
        <v>1</v>
      </c>
      <c r="M57" s="4">
        <v>45809</v>
      </c>
      <c r="N57" s="1">
        <v>0.39600000000000002</v>
      </c>
      <c r="O57" s="5">
        <v>-0.47599999999999998</v>
      </c>
      <c r="P57" s="6">
        <f t="shared" si="1"/>
        <v>-7.999999999999996E-2</v>
      </c>
      <c r="Q57" s="4">
        <v>45809</v>
      </c>
      <c r="R57" s="2">
        <v>0.20199999999999999</v>
      </c>
      <c r="S57" s="2">
        <v>0.18100000000000002</v>
      </c>
      <c r="T57" s="2">
        <v>3.3000000000000002E-2</v>
      </c>
      <c r="U57" s="2"/>
      <c r="V57" s="2">
        <v>1.3999999999999999E-2</v>
      </c>
      <c r="W57" s="2">
        <v>4.4999999999999998E-2</v>
      </c>
      <c r="X57" s="2">
        <v>1.4999999999999999E-2</v>
      </c>
      <c r="Y57" s="2">
        <v>2.7999999999999997E-2</v>
      </c>
      <c r="Z57" s="2">
        <v>3.5000000000000003E-2</v>
      </c>
      <c r="AA57" s="2">
        <v>0.11900000000000001</v>
      </c>
      <c r="AB57" s="4">
        <v>45809</v>
      </c>
      <c r="AC57" s="1">
        <v>0.185</v>
      </c>
      <c r="AD57" s="1">
        <v>0.06</v>
      </c>
      <c r="AE57" s="1">
        <v>0.20300000000000001</v>
      </c>
      <c r="AF57" s="1">
        <v>0.08</v>
      </c>
      <c r="AG57" s="1">
        <v>5.5999999999999994E-2</v>
      </c>
      <c r="AH57" s="4">
        <v>45809</v>
      </c>
      <c r="AI57" s="6">
        <v>3.2000000000000001E-2</v>
      </c>
      <c r="AJ57" s="6">
        <v>-0.17600000000000002</v>
      </c>
      <c r="AK57" s="6">
        <v>0.01</v>
      </c>
      <c r="AL57" s="6">
        <v>-8.5999999999999993E-2</v>
      </c>
      <c r="AM57" s="4">
        <v>45809</v>
      </c>
      <c r="AN57" s="3">
        <v>-0.19399999999999998</v>
      </c>
      <c r="AO57" s="2">
        <v>5.2999999999999999E-2</v>
      </c>
      <c r="AP57" s="5">
        <v>8.199999999999999E-2</v>
      </c>
      <c r="AQ57" s="3">
        <v>-0.115</v>
      </c>
      <c r="AR57" s="3">
        <v>2.7000000000000003E-2</v>
      </c>
      <c r="AS57" s="3">
        <v>-5.4000000000000006E-2</v>
      </c>
      <c r="AT57" s="3">
        <v>-0.11</v>
      </c>
      <c r="AU57" s="3">
        <v>-0.16500000000000001</v>
      </c>
      <c r="AV57" s="3">
        <v>2.6000000000000002E-2</v>
      </c>
      <c r="AW57" s="3">
        <v>-4.0000000000000001E-3</v>
      </c>
      <c r="AY57" s="9"/>
      <c r="AZ57" s="9"/>
      <c r="BA57" s="9"/>
      <c r="BB57" s="9"/>
      <c r="BC57" s="9"/>
      <c r="BD57" s="9"/>
      <c r="BE57" s="9"/>
      <c r="BF57" s="9"/>
      <c r="BG57" s="9"/>
      <c r="BH57" s="9"/>
    </row>
    <row r="58" spans="1:60" x14ac:dyDescent="0.2">
      <c r="A58" s="4">
        <v>45809</v>
      </c>
      <c r="B58" s="2">
        <v>0.34799999999999998</v>
      </c>
      <c r="C58" s="2">
        <v>0.33500000000000002</v>
      </c>
      <c r="D58" s="2">
        <v>9.0999999999999998E-2</v>
      </c>
      <c r="E58" s="2">
        <v>8.2000000000000003E-2</v>
      </c>
      <c r="F58" s="2">
        <v>3.3000000000000002E-2</v>
      </c>
      <c r="G58" s="2">
        <v>6.0999999999999999E-2</v>
      </c>
      <c r="I58" s="4">
        <v>45809</v>
      </c>
      <c r="J58" s="7">
        <v>60</v>
      </c>
      <c r="K58" s="7">
        <v>62</v>
      </c>
      <c r="L58" s="10">
        <f t="shared" si="2"/>
        <v>2</v>
      </c>
      <c r="M58" s="4">
        <v>45839</v>
      </c>
      <c r="N58" s="1">
        <v>0.38400000000000001</v>
      </c>
      <c r="O58" s="1">
        <v>-0.47399999999999998</v>
      </c>
      <c r="P58" s="6">
        <f t="shared" si="1"/>
        <v>-8.9999999999999969E-2</v>
      </c>
      <c r="Q58" s="4">
        <v>45839</v>
      </c>
      <c r="R58" s="2">
        <v>0.191</v>
      </c>
      <c r="S58" s="2">
        <v>0.21600000000000003</v>
      </c>
      <c r="T58" s="2">
        <v>3.7000000000000005E-2</v>
      </c>
      <c r="U58" s="2"/>
      <c r="V58" s="2">
        <v>1.7000000000000001E-2</v>
      </c>
      <c r="W58" s="2">
        <v>2.7000000000000003E-2</v>
      </c>
      <c r="X58" s="2">
        <v>2.4E-2</v>
      </c>
      <c r="Y58" s="2">
        <v>3.5000000000000003E-2</v>
      </c>
      <c r="Z58" s="2">
        <v>4.4999999999999998E-2</v>
      </c>
      <c r="AA58" s="2">
        <v>0.13300000000000001</v>
      </c>
      <c r="AB58" s="4">
        <v>45839</v>
      </c>
      <c r="AC58" s="1">
        <v>0.19600000000000001</v>
      </c>
      <c r="AD58" s="1">
        <v>5.7000000000000002E-2</v>
      </c>
      <c r="AE58" s="1">
        <v>0.19699999999999998</v>
      </c>
      <c r="AF58" s="1">
        <v>9.3000000000000013E-2</v>
      </c>
      <c r="AG58" s="1">
        <v>7.0000000000000007E-2</v>
      </c>
      <c r="AH58" s="4">
        <v>45839</v>
      </c>
      <c r="AI58" s="6">
        <v>0.04</v>
      </c>
      <c r="AJ58" s="6">
        <v>-0.14000000000000001</v>
      </c>
      <c r="AK58" s="6">
        <v>0</v>
      </c>
      <c r="AL58" s="6">
        <v>-0.05</v>
      </c>
      <c r="AM58" s="4">
        <v>45839</v>
      </c>
      <c r="AN58" s="3">
        <v>-0.26</v>
      </c>
      <c r="AO58" s="2">
        <v>5.5E-2</v>
      </c>
      <c r="AP58" s="5">
        <v>7.0999999999999994E-2</v>
      </c>
      <c r="AQ58" s="3">
        <v>-0.106</v>
      </c>
      <c r="AR58" s="3">
        <v>-0.111</v>
      </c>
      <c r="AS58" s="3">
        <v>-3.9E-2</v>
      </c>
      <c r="AT58" s="3">
        <v>-0.14099999999999999</v>
      </c>
      <c r="AU58" s="3">
        <v>-0.17199999999999999</v>
      </c>
      <c r="AV58" s="3">
        <v>8.9999999999999993E-3</v>
      </c>
      <c r="AW58" s="3">
        <v>1.3000000000000001E-2</v>
      </c>
      <c r="AY58" s="9"/>
      <c r="AZ58" s="9"/>
      <c r="BA58" s="9"/>
      <c r="BB58" s="9"/>
      <c r="BC58" s="9"/>
      <c r="BD58" s="9"/>
      <c r="BE58" s="9"/>
      <c r="BF58" s="9"/>
      <c r="BG58" s="9"/>
      <c r="BH58" s="9"/>
    </row>
    <row r="59" spans="1:60" x14ac:dyDescent="0.2">
      <c r="A59" s="4">
        <v>45839</v>
      </c>
      <c r="B59" s="2">
        <v>0.316</v>
      </c>
      <c r="C59" s="2">
        <v>0.33900000000000002</v>
      </c>
      <c r="D59" s="2">
        <v>9.0999999999999998E-2</v>
      </c>
      <c r="E59" s="2">
        <v>9.4E-2</v>
      </c>
      <c r="F59" s="2">
        <v>3.5000000000000003E-2</v>
      </c>
      <c r="G59" s="2">
        <v>9.8000000000000004E-2</v>
      </c>
      <c r="I59" s="4">
        <v>45839</v>
      </c>
      <c r="J59" s="7">
        <v>57</v>
      </c>
      <c r="K59" s="7">
        <v>65</v>
      </c>
      <c r="L59" s="10">
        <f t="shared" si="2"/>
        <v>2</v>
      </c>
      <c r="M59" s="4">
        <v>45870</v>
      </c>
      <c r="N59" s="1">
        <v>0.33600000000000002</v>
      </c>
      <c r="O59" s="1">
        <v>-0.54300000000000004</v>
      </c>
      <c r="P59" s="6">
        <f t="shared" si="1"/>
        <v>-0.20700000000000002</v>
      </c>
      <c r="Q59" s="4">
        <v>45870</v>
      </c>
      <c r="R59" s="2">
        <v>0.20699999999999999</v>
      </c>
      <c r="S59" s="2">
        <v>0.24399999999999999</v>
      </c>
      <c r="T59" s="2">
        <v>2.2000000000000002E-2</v>
      </c>
      <c r="U59" s="2"/>
      <c r="V59" s="2">
        <v>2.4E-2</v>
      </c>
      <c r="W59" s="2">
        <v>4.2999999999999997E-2</v>
      </c>
      <c r="X59" s="2">
        <v>2.7999999999999997E-2</v>
      </c>
      <c r="Y59" s="2">
        <v>2.7999999999999997E-2</v>
      </c>
      <c r="Z59" s="2">
        <v>3.7000000000000005E-2</v>
      </c>
      <c r="AA59" s="2">
        <v>0.1</v>
      </c>
      <c r="AB59" s="4">
        <v>45870</v>
      </c>
      <c r="AC59" s="1">
        <v>0.20199999999999999</v>
      </c>
      <c r="AD59" s="1">
        <v>6.2E-2</v>
      </c>
      <c r="AE59" s="1">
        <v>0.20199999999999999</v>
      </c>
      <c r="AF59" s="1">
        <v>8.199999999999999E-2</v>
      </c>
      <c r="AG59" s="1">
        <v>0.08</v>
      </c>
      <c r="AH59" s="4">
        <v>45870</v>
      </c>
      <c r="AI59" s="6">
        <v>0.05</v>
      </c>
      <c r="AJ59" s="6">
        <v>-0.22</v>
      </c>
      <c r="AK59" s="6">
        <v>-0.02</v>
      </c>
      <c r="AL59" s="6">
        <v>-0.12</v>
      </c>
      <c r="AM59" s="4">
        <v>45870</v>
      </c>
      <c r="AN59" s="3">
        <v>-0.14800000000000002</v>
      </c>
      <c r="AO59" s="2">
        <v>6.6000000000000003E-2</v>
      </c>
      <c r="AP59" s="5">
        <v>0.11699999999999999</v>
      </c>
      <c r="AQ59" s="3">
        <v>-0.126</v>
      </c>
      <c r="AR59" s="3">
        <v>-2.6000000000000002E-2</v>
      </c>
      <c r="AS59" s="3">
        <v>-1.9E-2</v>
      </c>
      <c r="AT59" s="3">
        <v>-7.8E-2</v>
      </c>
      <c r="AU59" s="3">
        <v>-0.10300000000000001</v>
      </c>
      <c r="AV59" s="3">
        <v>6.6000000000000003E-2</v>
      </c>
      <c r="AW59" s="3">
        <v>2.2000000000000002E-2</v>
      </c>
      <c r="AY59" s="9"/>
      <c r="AZ59" s="9"/>
      <c r="BA59" s="9"/>
      <c r="BB59" s="9"/>
      <c r="BC59" s="9"/>
      <c r="BD59" s="9"/>
      <c r="BE59" s="9"/>
      <c r="BF59" s="9"/>
      <c r="BG59" s="9"/>
      <c r="BH59" s="9"/>
    </row>
    <row r="60" spans="1:60" x14ac:dyDescent="0.2">
      <c r="A60" s="4">
        <v>45870</v>
      </c>
      <c r="B60" s="2">
        <v>0.33600000000000002</v>
      </c>
      <c r="C60" s="2">
        <v>0.318</v>
      </c>
      <c r="D60" s="2">
        <v>8.5999999999999993E-2</v>
      </c>
      <c r="E60" s="2">
        <v>9.8000000000000004E-2</v>
      </c>
      <c r="F60" s="2">
        <v>3.2000000000000001E-2</v>
      </c>
      <c r="G60" s="2">
        <v>7.8E-2</v>
      </c>
      <c r="I60" s="4">
        <v>45870</v>
      </c>
      <c r="J60" s="7">
        <v>61</v>
      </c>
      <c r="K60" s="7">
        <v>61</v>
      </c>
      <c r="L60" s="10">
        <f t="shared" si="2"/>
        <v>2</v>
      </c>
      <c r="M60" s="4">
        <v>45901</v>
      </c>
      <c r="N60" s="1">
        <v>0.35100000000000003</v>
      </c>
      <c r="O60" s="1">
        <v>-0.51600000000000001</v>
      </c>
      <c r="P60" s="6">
        <f t="shared" si="1"/>
        <v>-0.16499999999999998</v>
      </c>
      <c r="Q60" s="4">
        <v>45901</v>
      </c>
      <c r="R60" s="2">
        <v>0.161</v>
      </c>
      <c r="S60" s="2">
        <v>0.27500000000000002</v>
      </c>
      <c r="T60" s="2">
        <v>2.2000000000000002E-2</v>
      </c>
      <c r="U60" s="2">
        <v>7.4999999999999997E-2</v>
      </c>
      <c r="V60" s="2">
        <v>2.7999999999999997E-2</v>
      </c>
      <c r="W60" s="2">
        <v>3.5000000000000003E-2</v>
      </c>
      <c r="X60" s="2">
        <v>1.8000000000000002E-2</v>
      </c>
      <c r="Y60" s="2">
        <v>1.9E-2</v>
      </c>
      <c r="Z60" s="2">
        <v>4.4999999999999998E-2</v>
      </c>
      <c r="AA60" s="2">
        <v>0.111</v>
      </c>
      <c r="AB60" s="4">
        <v>45901</v>
      </c>
      <c r="AC60" s="1">
        <v>0.17699999999999999</v>
      </c>
      <c r="AD60" s="1">
        <v>3.6999999999999998E-2</v>
      </c>
      <c r="AE60" s="1">
        <v>0.217</v>
      </c>
      <c r="AF60" s="1">
        <v>0.109</v>
      </c>
      <c r="AG60" s="1">
        <v>8.8000000000000009E-2</v>
      </c>
      <c r="AH60" s="4">
        <v>45901</v>
      </c>
      <c r="AI60" s="6">
        <v>0.02</v>
      </c>
      <c r="AJ60" s="6">
        <v>-0.19</v>
      </c>
      <c r="AK60" s="6">
        <v>0.02</v>
      </c>
      <c r="AL60" s="6">
        <v>-0.12</v>
      </c>
      <c r="AM60" s="4">
        <v>45901</v>
      </c>
      <c r="AN60" s="3">
        <v>-0.15</v>
      </c>
      <c r="AO60" s="2">
        <v>0.125</v>
      </c>
      <c r="AP60" s="5">
        <v>8.6999999999999994E-2</v>
      </c>
      <c r="AQ60" s="3">
        <v>-6.6000000000000003E-2</v>
      </c>
      <c r="AR60" s="3">
        <v>-3.1E-2</v>
      </c>
      <c r="AS60" s="3">
        <v>1.1000000000000001E-2</v>
      </c>
      <c r="AT60" s="3">
        <v>-6.6000000000000003E-2</v>
      </c>
      <c r="AU60" s="3">
        <v>-7.4999999999999997E-2</v>
      </c>
      <c r="AV60" s="3">
        <v>6.2E-2</v>
      </c>
      <c r="AW60" s="3">
        <v>4.5999999999999999E-2</v>
      </c>
      <c r="AY60" s="9"/>
      <c r="AZ60" s="9"/>
      <c r="BA60" s="9"/>
      <c r="BB60" s="9"/>
      <c r="BC60" s="9"/>
      <c r="BD60" s="9"/>
      <c r="BE60" s="9"/>
      <c r="BF60" s="9"/>
      <c r="BG60" s="9"/>
      <c r="BH60" s="9"/>
    </row>
    <row r="61" spans="1:60" x14ac:dyDescent="0.2">
      <c r="A61" s="4">
        <v>45901</v>
      </c>
      <c r="B61" s="2">
        <v>0.33800000000000002</v>
      </c>
      <c r="C61" s="2">
        <v>0.33100000000000002</v>
      </c>
      <c r="D61" s="2">
        <v>6.7000000000000004E-2</v>
      </c>
      <c r="E61" s="2">
        <v>0.107</v>
      </c>
      <c r="F61" s="2">
        <v>4.2999999999999997E-2</v>
      </c>
      <c r="G61" s="2">
        <v>8.1000000000000003E-2</v>
      </c>
      <c r="I61" s="4">
        <v>45901</v>
      </c>
      <c r="J61">
        <v>61</v>
      </c>
      <c r="K61" s="7">
        <v>60</v>
      </c>
      <c r="L61" s="10">
        <f t="shared" si="2"/>
        <v>1</v>
      </c>
      <c r="M61" s="4">
        <v>45931</v>
      </c>
      <c r="N61" s="1">
        <v>0.35799999999999998</v>
      </c>
      <c r="O61" s="1">
        <v>-0.50800000000000001</v>
      </c>
      <c r="P61" s="6">
        <f t="shared" si="1"/>
        <v>-0.15000000000000002</v>
      </c>
      <c r="Q61" s="4">
        <v>45931</v>
      </c>
      <c r="R61" s="2">
        <v>0.17399999999999999</v>
      </c>
      <c r="S61" s="2">
        <v>0.26400000000000001</v>
      </c>
      <c r="T61" s="2">
        <v>3.3000000000000002E-2</v>
      </c>
      <c r="U61" s="2">
        <v>5.0999999999999997E-2</v>
      </c>
      <c r="V61" s="2">
        <v>1.6E-2</v>
      </c>
      <c r="W61" s="2">
        <v>3.4000000000000002E-2</v>
      </c>
      <c r="X61" s="2">
        <v>2.1999999999999999E-2</v>
      </c>
      <c r="Y61" s="2">
        <v>2.6000000000000002E-2</v>
      </c>
      <c r="Z61" s="2">
        <v>4.0999999999999995E-2</v>
      </c>
      <c r="AA61" s="2">
        <v>0.10300000000000001</v>
      </c>
      <c r="AB61" s="4">
        <v>45931</v>
      </c>
      <c r="AC61" s="1">
        <v>0.20899999999999999</v>
      </c>
      <c r="AD61" s="1">
        <v>0.04</v>
      </c>
      <c r="AE61" s="1">
        <v>0.19800000000000001</v>
      </c>
      <c r="AF61" s="1">
        <v>9.9000000000000005E-2</v>
      </c>
      <c r="AG61" s="1">
        <v>6.3E-2</v>
      </c>
      <c r="AH61" s="4">
        <v>45931</v>
      </c>
      <c r="AI61" s="6">
        <v>-2.4E-2</v>
      </c>
      <c r="AJ61" s="6">
        <v>-0.26800000000000002</v>
      </c>
      <c r="AK61" s="6">
        <v>-3.3000000000000002E-2</v>
      </c>
      <c r="AL61" s="6">
        <v>-0.14400000000000002</v>
      </c>
      <c r="AM61" s="4">
        <v>45931</v>
      </c>
      <c r="AN61" s="3">
        <v>-0.151</v>
      </c>
      <c r="AO61" s="2">
        <v>5.9000000000000004E-2</v>
      </c>
      <c r="AP61" s="5">
        <v>8.199999999999999E-2</v>
      </c>
      <c r="AQ61" s="3">
        <v>-7.2999999999999995E-2</v>
      </c>
      <c r="AR61" s="3">
        <v>-0.125</v>
      </c>
      <c r="AS61" s="3">
        <v>-1.3000000000000001E-2</v>
      </c>
      <c r="AT61" s="3">
        <v>-0.129</v>
      </c>
      <c r="AU61" s="3">
        <v>-0.14400000000000002</v>
      </c>
      <c r="AV61" s="3">
        <v>2.1000000000000001E-2</v>
      </c>
      <c r="AW61" s="3">
        <v>-4.9000000000000002E-2</v>
      </c>
      <c r="AY61" s="9"/>
      <c r="AZ61" s="9"/>
      <c r="BA61" s="9"/>
      <c r="BB61" s="9"/>
      <c r="BC61" s="9"/>
      <c r="BD61" s="9"/>
      <c r="BE61" s="9"/>
      <c r="BF61" s="9"/>
      <c r="BG61" s="9"/>
      <c r="BH61" s="9"/>
    </row>
    <row r="62" spans="1:60" x14ac:dyDescent="0.2">
      <c r="A62" s="4">
        <v>45931</v>
      </c>
      <c r="B62" s="2">
        <v>0.312</v>
      </c>
      <c r="C62" s="2">
        <v>0.29599999999999999</v>
      </c>
      <c r="D62" s="2">
        <v>6.6000000000000003E-2</v>
      </c>
      <c r="E62" s="2">
        <v>0.12</v>
      </c>
      <c r="F62" s="2">
        <v>4.3999999999999997E-2</v>
      </c>
      <c r="G62" s="2">
        <v>0.106</v>
      </c>
      <c r="I62" s="4">
        <v>45931</v>
      </c>
      <c r="J62" s="7">
        <v>61</v>
      </c>
      <c r="K62" s="7">
        <v>59</v>
      </c>
      <c r="L62" s="10">
        <f t="shared" si="2"/>
        <v>0</v>
      </c>
      <c r="M62" s="4">
        <v>45962</v>
      </c>
      <c r="N62" s="1">
        <v>0.379</v>
      </c>
      <c r="O62" s="1">
        <v>-0.439</v>
      </c>
      <c r="P62" s="6">
        <f t="shared" si="1"/>
        <v>-0.06</v>
      </c>
      <c r="Q62" s="4">
        <v>45962</v>
      </c>
      <c r="R62" s="2">
        <v>0.17600000000000002</v>
      </c>
      <c r="S62" s="2">
        <v>0.28499999999999998</v>
      </c>
      <c r="T62" s="2">
        <v>1.9E-2</v>
      </c>
      <c r="U62" s="2">
        <v>5.5999999999999994E-2</v>
      </c>
      <c r="V62" s="2">
        <v>8.0000000000000002E-3</v>
      </c>
      <c r="W62" s="2">
        <v>2.1000000000000001E-2</v>
      </c>
      <c r="X62" s="2">
        <v>0.02</v>
      </c>
      <c r="Y62" s="2">
        <v>2.4E-2</v>
      </c>
      <c r="Z62" s="2">
        <v>5.9000000000000004E-2</v>
      </c>
      <c r="AA62" s="2">
        <v>0.11800000000000001</v>
      </c>
      <c r="AB62" s="4">
        <v>45962</v>
      </c>
      <c r="AC62" s="1">
        <v>0.20600000000000002</v>
      </c>
      <c r="AD62" s="1">
        <v>7.6999999999999999E-2</v>
      </c>
      <c r="AE62" s="1">
        <v>0.20800000000000002</v>
      </c>
      <c r="AF62" s="1">
        <v>8.5000000000000006E-2</v>
      </c>
      <c r="AG62" s="1">
        <v>4.0999999999999995E-2</v>
      </c>
      <c r="AH62" s="4">
        <v>45962</v>
      </c>
      <c r="AI62" s="6">
        <v>-0.02</v>
      </c>
      <c r="AJ62" s="6">
        <v>-0.11</v>
      </c>
      <c r="AK62" s="6">
        <v>0.02</v>
      </c>
      <c r="AL62" s="6">
        <v>-0.1</v>
      </c>
      <c r="AM62" s="4">
        <v>45962</v>
      </c>
      <c r="AN62" s="3">
        <v>-0.10800000000000001</v>
      </c>
      <c r="AO62" s="2">
        <v>5.2999999999999999E-2</v>
      </c>
      <c r="AP62" s="5">
        <v>4.8000000000000001E-2</v>
      </c>
      <c r="AQ62" s="3">
        <v>-6.3E-2</v>
      </c>
      <c r="AR62" s="3">
        <v>-1.3999999999999999E-2</v>
      </c>
      <c r="AS62" s="3">
        <v>-5.0000000000000001E-3</v>
      </c>
      <c r="AT62" s="3">
        <v>-9.6999999999999989E-2</v>
      </c>
      <c r="AU62" s="3">
        <v>-6.8000000000000005E-2</v>
      </c>
      <c r="AV62" s="3">
        <v>3.6000000000000004E-2</v>
      </c>
      <c r="AW62" s="3">
        <v>-3.9E-2</v>
      </c>
      <c r="AY62" s="9"/>
      <c r="AZ62" s="9"/>
      <c r="BA62" s="9"/>
      <c r="BB62" s="9"/>
      <c r="BC62" s="9"/>
      <c r="BD62" s="9"/>
      <c r="BE62" s="9"/>
      <c r="BF62" s="9"/>
      <c r="BG62" s="9"/>
      <c r="BH62" s="9"/>
    </row>
    <row r="63" spans="1:60" x14ac:dyDescent="0.2">
      <c r="A63" s="4">
        <v>45962</v>
      </c>
      <c r="B63" s="2">
        <v>0.33300000000000002</v>
      </c>
      <c r="C63" s="2">
        <v>0.30199999999999999</v>
      </c>
      <c r="D63" s="2">
        <v>8.5999999999999993E-2</v>
      </c>
      <c r="E63" s="2">
        <v>9.1999999999999998E-2</v>
      </c>
      <c r="F63" s="2">
        <v>3.3000000000000002E-2</v>
      </c>
      <c r="G63" s="2">
        <v>9.0999999999999998E-2</v>
      </c>
      <c r="I63" s="4">
        <v>45962</v>
      </c>
      <c r="J63" s="7">
        <v>60</v>
      </c>
      <c r="K63" s="7">
        <v>62</v>
      </c>
      <c r="L63" s="10">
        <f t="shared" si="2"/>
        <v>2</v>
      </c>
      <c r="M63" s="4">
        <v>45992</v>
      </c>
      <c r="N63" s="1">
        <v>0.38299999999999995</v>
      </c>
      <c r="O63" s="1">
        <v>-0.44900000000000001</v>
      </c>
      <c r="P63" s="6">
        <f t="shared" si="1"/>
        <v>-6.6000000000000059E-2</v>
      </c>
      <c r="Q63" s="4">
        <v>45992</v>
      </c>
      <c r="R63" s="2">
        <v>0.14800000000000002</v>
      </c>
      <c r="S63" s="2">
        <v>0.32600000000000001</v>
      </c>
      <c r="T63" s="2">
        <v>1.4999999999999999E-2</v>
      </c>
      <c r="U63" s="2">
        <v>4.2000000000000003E-2</v>
      </c>
      <c r="V63" s="2">
        <v>4.2999999999999997E-2</v>
      </c>
      <c r="W63" s="2">
        <v>2.8999999999999998E-2</v>
      </c>
      <c r="X63" s="2">
        <v>3.4000000000000002E-2</v>
      </c>
      <c r="Y63" s="2">
        <v>2.6000000000000002E-2</v>
      </c>
      <c r="Z63" s="2">
        <v>4.2000000000000003E-2</v>
      </c>
      <c r="AA63" s="2">
        <v>9.4E-2</v>
      </c>
      <c r="AB63" s="4">
        <v>45992</v>
      </c>
      <c r="AC63" s="1">
        <v>0.17800000000000002</v>
      </c>
      <c r="AD63" s="1">
        <v>0.06</v>
      </c>
      <c r="AE63" s="1">
        <v>0.19699999999999998</v>
      </c>
      <c r="AF63" s="1">
        <v>8.5000000000000006E-2</v>
      </c>
      <c r="AG63" s="1">
        <v>7.5999999999999998E-2</v>
      </c>
      <c r="AH63" s="4">
        <v>45992</v>
      </c>
      <c r="AI63" s="6">
        <v>-7.0000000000000007E-2</v>
      </c>
      <c r="AJ63" s="6">
        <v>-0.24</v>
      </c>
      <c r="AK63" s="6">
        <v>-0.02</v>
      </c>
      <c r="AL63" s="6">
        <v>-0.13</v>
      </c>
      <c r="AM63" s="4">
        <v>45992</v>
      </c>
      <c r="AN63" s="3">
        <v>-0.152</v>
      </c>
      <c r="AO63" s="2">
        <v>9.9000000000000005E-2</v>
      </c>
      <c r="AP63" s="5">
        <v>5.7000000000000002E-2</v>
      </c>
      <c r="AQ63" s="3">
        <v>-3.9E-2</v>
      </c>
      <c r="AR63" s="3">
        <v>-0.03</v>
      </c>
      <c r="AS63" s="3">
        <v>1.9E-2</v>
      </c>
      <c r="AT63" s="3">
        <v>-6.2E-2</v>
      </c>
      <c r="AU63" s="3">
        <v>-5.7000000000000002E-2</v>
      </c>
      <c r="AV63" s="3">
        <v>5.2999999999999999E-2</v>
      </c>
      <c r="AW63" s="3">
        <v>2.1000000000000001E-2</v>
      </c>
      <c r="AY63" s="9"/>
      <c r="AZ63" s="9"/>
      <c r="BA63" s="9"/>
      <c r="BB63" s="9"/>
      <c r="BC63" s="9"/>
      <c r="BD63" s="9"/>
      <c r="BE63" s="9"/>
      <c r="BF63" s="9"/>
      <c r="BG63" s="9"/>
      <c r="BH63" s="9"/>
    </row>
    <row r="64" spans="1:60" x14ac:dyDescent="0.2">
      <c r="A64" s="4">
        <v>45992</v>
      </c>
      <c r="B64" s="2">
        <v>0.316</v>
      </c>
      <c r="C64" s="2">
        <v>0.3</v>
      </c>
      <c r="D64" s="2">
        <v>8.900000000000001E-2</v>
      </c>
      <c r="E64" s="2">
        <v>0.108</v>
      </c>
      <c r="F64" s="2">
        <v>3.1E-2</v>
      </c>
      <c r="G64" s="2">
        <v>8.1000000000000003E-2</v>
      </c>
      <c r="I64" s="4">
        <v>45992</v>
      </c>
      <c r="J64" s="7">
        <v>59</v>
      </c>
      <c r="K64" s="7">
        <v>61</v>
      </c>
      <c r="L64" s="10">
        <f t="shared" si="2"/>
        <v>0</v>
      </c>
      <c r="M64" s="4">
        <v>46023</v>
      </c>
      <c r="N64" s="1">
        <v>0.32600000000000001</v>
      </c>
      <c r="O64" s="1">
        <v>-0.49</v>
      </c>
      <c r="P64" s="6">
        <f t="shared" si="1"/>
        <v>-0.16399999999999998</v>
      </c>
      <c r="Q64" s="4">
        <v>46023</v>
      </c>
      <c r="R64" s="2">
        <v>0.14800000000000002</v>
      </c>
      <c r="S64" s="2">
        <v>0.27500000000000002</v>
      </c>
      <c r="T64" s="2">
        <v>3.3000000000000002E-2</v>
      </c>
      <c r="U64" s="2">
        <v>4.8000000000000001E-2</v>
      </c>
      <c r="V64" s="2">
        <v>2.6000000000000002E-2</v>
      </c>
      <c r="W64" s="2">
        <v>2.6000000000000002E-2</v>
      </c>
      <c r="X64" s="2">
        <v>3.3000000000000002E-2</v>
      </c>
      <c r="Y64" s="2">
        <v>0.03</v>
      </c>
      <c r="Z64" s="2">
        <v>3.5999999999999997E-2</v>
      </c>
      <c r="AA64" s="2">
        <v>8.8000000000000009E-2</v>
      </c>
      <c r="AB64" s="4">
        <v>46023</v>
      </c>
      <c r="AC64" s="1">
        <v>0.18</v>
      </c>
      <c r="AD64" s="1">
        <v>7.0999999999999994E-2</v>
      </c>
      <c r="AE64" s="1">
        <v>0.19500000000000001</v>
      </c>
      <c r="AF64" s="1">
        <v>9.6999999999999989E-2</v>
      </c>
      <c r="AG64" s="1">
        <v>5.5E-2</v>
      </c>
      <c r="AH64" s="4">
        <v>46023</v>
      </c>
      <c r="AI64" s="6">
        <v>-0.04</v>
      </c>
      <c r="AJ64" s="6">
        <v>-0.24</v>
      </c>
      <c r="AK64" s="6">
        <v>-0.06</v>
      </c>
      <c r="AL64" s="6">
        <v>-0.17</v>
      </c>
      <c r="AM64" s="4">
        <v>46023</v>
      </c>
      <c r="AN64" s="3">
        <v>-0.106</v>
      </c>
      <c r="AO64" s="2">
        <v>0.13400000000000001</v>
      </c>
      <c r="AP64" s="5">
        <v>0.12300000000000001</v>
      </c>
      <c r="AQ64" s="3">
        <v>-3.7999999999999999E-2</v>
      </c>
      <c r="AR64" s="3">
        <v>-8.9999999999999993E-3</v>
      </c>
      <c r="AS64" s="3">
        <v>8.9999999999999993E-3</v>
      </c>
      <c r="AT64" s="3">
        <v>-4.8000000000000001E-2</v>
      </c>
      <c r="AU64" s="3">
        <v>-6.3E-2</v>
      </c>
      <c r="AV64" s="3">
        <v>0.10199999999999999</v>
      </c>
      <c r="AW64" s="3">
        <v>7.0999999999999994E-2</v>
      </c>
      <c r="AY64" s="9"/>
      <c r="AZ64" s="9"/>
      <c r="BA64" s="9"/>
      <c r="BB64" s="9"/>
      <c r="BC64" s="9"/>
      <c r="BD64" s="9"/>
      <c r="BE64" s="9"/>
      <c r="BF64" s="9"/>
      <c r="BG64" s="9"/>
      <c r="BH64" s="9"/>
    </row>
    <row r="65" spans="1:60" x14ac:dyDescent="0.2">
      <c r="A65" s="4">
        <v>46023</v>
      </c>
      <c r="B65" s="2">
        <v>0.34399999999999997</v>
      </c>
      <c r="C65" s="2">
        <v>0.315</v>
      </c>
      <c r="D65" s="2">
        <v>7.0000000000000007E-2</v>
      </c>
      <c r="E65" s="2">
        <v>7.6999999999999999E-2</v>
      </c>
      <c r="F65" s="2">
        <v>0.03</v>
      </c>
      <c r="G65" s="2">
        <v>0.11900000000000001</v>
      </c>
      <c r="I65" s="4">
        <v>46023</v>
      </c>
      <c r="J65" s="7">
        <v>57</v>
      </c>
      <c r="K65" s="7">
        <v>63</v>
      </c>
      <c r="L65" s="10">
        <f t="shared" si="2"/>
        <v>0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</row>
    <row r="66" spans="1:60" x14ac:dyDescent="0.2">
      <c r="AY66" s="9"/>
      <c r="AZ66" s="9"/>
      <c r="BA66" s="9"/>
      <c r="BB66" s="9"/>
      <c r="BC66" s="9"/>
      <c r="BD66" s="9"/>
      <c r="BE66" s="9"/>
      <c r="BF66" s="9"/>
      <c r="BG66" s="9"/>
      <c r="BH66" s="9"/>
    </row>
    <row r="67" spans="1:60" x14ac:dyDescent="0.2">
      <c r="AY67" s="9"/>
      <c r="AZ67" s="9"/>
      <c r="BA67" s="9"/>
      <c r="BB67" s="9"/>
      <c r="BC67" s="9"/>
      <c r="BD67" s="9"/>
      <c r="BE67" s="9"/>
      <c r="BF67" s="9"/>
      <c r="BG67" s="9"/>
      <c r="BH67" s="9"/>
    </row>
    <row r="68" spans="1:60" x14ac:dyDescent="0.2">
      <c r="AY68" s="9"/>
      <c r="AZ68" s="9"/>
      <c r="BA68" s="9"/>
      <c r="BB68" s="9"/>
      <c r="BC68" s="9"/>
      <c r="BD68" s="9"/>
      <c r="BE68" s="9"/>
      <c r="BF68" s="9"/>
      <c r="BG68" s="9"/>
      <c r="BH68" s="9"/>
    </row>
    <row r="69" spans="1:60" x14ac:dyDescent="0.2"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"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"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"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"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"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"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"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"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"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"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"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51:60" x14ac:dyDescent="0.2"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51:60" x14ac:dyDescent="0.2"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51:60" x14ac:dyDescent="0.2"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51:60" x14ac:dyDescent="0.2">
      <c r="AY84" s="11"/>
      <c r="AZ84" s="11"/>
      <c r="BA84" s="11"/>
      <c r="BB84" s="11"/>
      <c r="BC84" s="11"/>
      <c r="BD84" s="11"/>
      <c r="BE84" s="11"/>
      <c r="BF84" s="11"/>
      <c r="BG84" s="11"/>
      <c r="BH84" s="11"/>
    </row>
    <row r="85" spans="51:60" x14ac:dyDescent="0.2"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51:60" x14ac:dyDescent="0.2"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76CC-5CB9-DB44-99CC-694CA7CA013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4019-5E21-5A4A-8CB6-F2A27520CBAF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0A7037CB863D4488470498FEE0F9B9" ma:contentTypeVersion="16" ma:contentTypeDescription="Create a new document." ma:contentTypeScope="" ma:versionID="ca6e7044373c0d2c7e92c6499c24af43">
  <xsd:schema xmlns:xsd="http://www.w3.org/2001/XMLSchema" xmlns:xs="http://www.w3.org/2001/XMLSchema" xmlns:p="http://schemas.microsoft.com/office/2006/metadata/properties" xmlns:ns2="86147f5a-eaeb-4e42-bd0a-0c202a7cc7be" xmlns:ns3="bb11778b-4614-4d56-81bb-18cc2e705d47" targetNamespace="http://schemas.microsoft.com/office/2006/metadata/properties" ma:root="true" ma:fieldsID="4953525f2119207ab2b22c0b6b077357" ns2:_="" ns3:_="">
    <xsd:import namespace="86147f5a-eaeb-4e42-bd0a-0c202a7cc7be"/>
    <xsd:import namespace="bb11778b-4614-4d56-81bb-18cc2e705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47f5a-eaeb-4e42-bd0a-0c202a7cc7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a39a27-6fbc-40b3-88c4-cfb19392dd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1778b-4614-4d56-81bb-18cc2e705d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7881bb-b7ab-4f0f-9148-7348b020db30}" ma:internalName="TaxCatchAll" ma:showField="CatchAllData" ma:web="bb11778b-4614-4d56-81bb-18cc2e705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11778b-4614-4d56-81bb-18cc2e705d47" xsi:nil="true"/>
    <lcf76f155ced4ddcb4097134ff3c332f xmlns="86147f5a-eaeb-4e42-bd0a-0c202a7cc7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B1C494-5A46-4B8D-885A-513B19E40BEA}"/>
</file>

<file path=customXml/itemProps2.xml><?xml version="1.0" encoding="utf-8"?>
<ds:datastoreItem xmlns:ds="http://schemas.openxmlformats.org/officeDocument/2006/customXml" ds:itemID="{12221CE5-FC92-4BAD-A31A-780D9B140021}"/>
</file>

<file path=customXml/itemProps3.xml><?xml version="1.0" encoding="utf-8"?>
<ds:datastoreItem xmlns:ds="http://schemas.openxmlformats.org/officeDocument/2006/customXml" ds:itemID="{04554E85-C859-4B46-81DA-44FD29FB74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25</vt:i4>
      </vt:variant>
    </vt:vector>
  </HeadingPairs>
  <TitlesOfParts>
    <vt:vector size="29" baseType="lpstr">
      <vt:lpstr>This Month</vt:lpstr>
      <vt:lpstr>Time</vt:lpstr>
      <vt:lpstr>Sheet2</vt:lpstr>
      <vt:lpstr>Sheet1</vt:lpstr>
      <vt:lpstr>Current Labour</vt:lpstr>
      <vt:lpstr>Current Nats</vt:lpstr>
      <vt:lpstr>2023 Lab</vt:lpstr>
      <vt:lpstr>2023 Nat</vt:lpstr>
      <vt:lpstr>PV time</vt:lpstr>
      <vt:lpstr>PV Compare</vt:lpstr>
      <vt:lpstr>Seats time</vt:lpstr>
      <vt:lpstr>Seats</vt:lpstr>
      <vt:lpstr>PV Gend Age</vt:lpstr>
      <vt:lpstr>PV Area</vt:lpstr>
      <vt:lpstr>PV Ethnicity</vt:lpstr>
      <vt:lpstr>PPM over time</vt:lpstr>
      <vt:lpstr>Fav</vt:lpstr>
      <vt:lpstr>Fav time</vt:lpstr>
      <vt:lpstr>Fav by PV</vt:lpstr>
      <vt:lpstr>Dir by time</vt:lpstr>
      <vt:lpstr>DIrection</vt:lpstr>
      <vt:lpstr>Approval</vt:lpstr>
      <vt:lpstr>Issues</vt:lpstr>
      <vt:lpstr>Issues (3)</vt:lpstr>
      <vt:lpstr>Issues Time</vt:lpstr>
      <vt:lpstr>KPI Impt</vt:lpstr>
      <vt:lpstr>Impt time</vt:lpstr>
      <vt:lpstr>KPI</vt:lpstr>
      <vt:lpstr>KPI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Farrar</dc:creator>
  <cp:lastModifiedBy>David Farrar</cp:lastModifiedBy>
  <dcterms:created xsi:type="dcterms:W3CDTF">2021-09-05T23:15:56Z</dcterms:created>
  <dcterms:modified xsi:type="dcterms:W3CDTF">2026-01-18T09:04:11Z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0x0101006D0A7037CB863D4488470498FEE0F9B9</vt:lpwstr>
  </property>
</Properties>
</file>